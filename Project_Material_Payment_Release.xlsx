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 PC\Downloads\"/>
    </mc:Choice>
  </mc:AlternateContent>
  <xr:revisionPtr revIDLastSave="0" documentId="13_ncr:1_{B0E324E6-195A-4551-8568-E3E2919CE39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snad" sheetId="1" r:id="rId1"/>
    <sheet name="Naaji" sheetId="2" r:id="rId2"/>
    <sheet name="Zahid" sheetId="3" r:id="rId3"/>
    <sheet name="Dogma" sheetId="4" r:id="rId4"/>
    <sheet name="Masri" sheetId="5" r:id="rId5"/>
    <sheet name="Al daid" sheetId="6" r:id="rId6"/>
    <sheet name="arabico 2 steel" sheetId="7" r:id="rId7"/>
    <sheet name="Proms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GGpLu0koTk984AQ4R6cnaZQe0VQBdARnFHNJiauHV18="/>
    </ext>
  </extLst>
</workbook>
</file>

<file path=xl/calcChain.xml><?xml version="1.0" encoding="utf-8"?>
<calcChain xmlns="http://schemas.openxmlformats.org/spreadsheetml/2006/main">
  <c r="G25" i="8" l="1"/>
  <c r="G24" i="8"/>
  <c r="G23" i="8"/>
  <c r="G22" i="8"/>
  <c r="G21" i="8"/>
  <c r="G20" i="8"/>
  <c r="G19" i="8"/>
  <c r="G18" i="8"/>
  <c r="G27" i="8" s="1"/>
  <c r="G28" i="8" s="1"/>
  <c r="G30" i="8" s="1"/>
  <c r="G17" i="8"/>
  <c r="AH51" i="7"/>
  <c r="AH48" i="7"/>
  <c r="AH47" i="7"/>
  <c r="AH46" i="7"/>
  <c r="AH45" i="7"/>
  <c r="AH44" i="7"/>
  <c r="AH50" i="7" s="1"/>
  <c r="AH43" i="7"/>
  <c r="AH42" i="7"/>
  <c r="AH41" i="7"/>
  <c r="G25" i="7"/>
  <c r="G24" i="7"/>
  <c r="G23" i="7"/>
  <c r="G22" i="7"/>
  <c r="G21" i="7"/>
  <c r="G20" i="7"/>
  <c r="G19" i="7"/>
  <c r="G18" i="7"/>
  <c r="G27" i="7" s="1"/>
  <c r="G28" i="7" s="1"/>
  <c r="G30" i="7" s="1"/>
  <c r="I13" i="7" s="1"/>
  <c r="T12" i="7"/>
  <c r="T11" i="7"/>
  <c r="T10" i="7"/>
  <c r="T9" i="7"/>
  <c r="T8" i="7"/>
  <c r="G26" i="6"/>
  <c r="G27" i="6" s="1"/>
  <c r="G29" i="6" s="1"/>
  <c r="I13" i="6" s="1"/>
  <c r="G18" i="6"/>
  <c r="G19" i="5"/>
  <c r="G18" i="5"/>
  <c r="G17" i="5"/>
  <c r="G16" i="5"/>
  <c r="G23" i="5" s="1"/>
  <c r="G24" i="5" s="1"/>
  <c r="G26" i="5" s="1"/>
  <c r="I11" i="5" s="1"/>
  <c r="F43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3"/>
  <c r="G18" i="3" s="1"/>
  <c r="G20" i="3" s="1"/>
  <c r="I11" i="3" s="1"/>
  <c r="G16" i="2"/>
  <c r="I11" i="2"/>
  <c r="G19" i="1"/>
  <c r="G18" i="1"/>
  <c r="G17" i="1"/>
  <c r="G16" i="1"/>
  <c r="G22" i="1" s="1"/>
  <c r="G23" i="1" s="1"/>
  <c r="G25" i="1" s="1"/>
  <c r="I11" i="1" s="1"/>
  <c r="G30" i="4" l="1"/>
  <c r="G31" i="4" s="1"/>
  <c r="G33" i="4" s="1"/>
  <c r="I12" i="4" s="1"/>
</calcChain>
</file>

<file path=xl/sharedStrings.xml><?xml version="1.0" encoding="utf-8"?>
<sst xmlns="http://schemas.openxmlformats.org/spreadsheetml/2006/main" count="826" uniqueCount="192">
  <si>
    <t>AZ
AL ZAYED
TENTS &amp; SHADES LLC</t>
  </si>
  <si>
    <t>PROJECT MATERIAL
PAYMENT RELEASE FORM</t>
  </si>
  <si>
    <t>Department</t>
  </si>
  <si>
    <t>Project Management</t>
  </si>
  <si>
    <t>▣✓   Ensure Right Payment  |  Ensure Right Progress  |  Ensure Next Collection</t>
  </si>
  <si>
    <t>Purpose</t>
  </si>
  <si>
    <t>Material Payment Release</t>
  </si>
  <si>
    <t>BASIC INFORMATION</t>
  </si>
  <si>
    <t>Payment Request No.</t>
  </si>
  <si>
    <t>AZTS-0008</t>
  </si>
  <si>
    <t>Date</t>
  </si>
  <si>
    <t>AZTS-0007</t>
  </si>
  <si>
    <t>Project Name</t>
  </si>
  <si>
    <t>proj value</t>
  </si>
  <si>
    <t>Project Code</t>
  </si>
  <si>
    <t>Al barsha + Inner Space</t>
  </si>
  <si>
    <t>Arabico</t>
  </si>
  <si>
    <t>Client</t>
  </si>
  <si>
    <t>Requested Amount (AED)</t>
  </si>
  <si>
    <t>Supplier</t>
  </si>
  <si>
    <t>Marhaba</t>
  </si>
  <si>
    <t>Naaji</t>
  </si>
  <si>
    <t xml:space="preserve">First Source </t>
  </si>
  <si>
    <t>Currency</t>
  </si>
  <si>
    <t>AED</t>
  </si>
  <si>
    <t>MATERIAL DETAILS</t>
  </si>
  <si>
    <t>Description</t>
  </si>
  <si>
    <t>Qty</t>
  </si>
  <si>
    <t>Unit Price
(AED)</t>
  </si>
  <si>
    <t>Amount
(AED)</t>
  </si>
  <si>
    <t>ANCHOR BOLTS M20X400M length</t>
  </si>
  <si>
    <t>Design calculation Arabico new LPO</t>
  </si>
  <si>
    <t>Black sand for Interlock</t>
  </si>
  <si>
    <t>Columns- MS PIPE 168.3 mm-THK 5MM-6MTR</t>
  </si>
  <si>
    <t>dogma</t>
  </si>
  <si>
    <t>MS RHS COLUMN 60X60-3MM-6MTR</t>
  </si>
  <si>
    <t>Esnad</t>
  </si>
  <si>
    <t>MS RHS ARCH 60X60-3MM-6MTR</t>
  </si>
  <si>
    <t xml:space="preserve">G zone new design calculation </t>
  </si>
  <si>
    <t>Arches- MS PIPE 73.1 mm-THK 3MM-6MTR</t>
  </si>
  <si>
    <t>MS SHS TUBE Connector 50X50-3MM-6MTR</t>
  </si>
  <si>
    <t>TOTAL with VAT</t>
  </si>
  <si>
    <t xml:space="preserve">G Zone </t>
  </si>
  <si>
    <t xml:space="preserve">MS PLATE 1.2M X 2.4M-10MM </t>
  </si>
  <si>
    <t>Truss Zigzag Pipe- MS PIPE 48.3mm-THK 2MM-6MTR</t>
  </si>
  <si>
    <t xml:space="preserve">MS PLATE 1.2M X 2.4M-6MM </t>
  </si>
  <si>
    <t>Tranport</t>
  </si>
  <si>
    <t>M16X120 NUT AND BOLTS</t>
  </si>
  <si>
    <t>TOTAL AMOUNT</t>
  </si>
  <si>
    <t>SELF TAPPING SCREW-BOX</t>
  </si>
  <si>
    <t>Connector MS PIPE 60.3mm-THK 3MM-6MTR</t>
  </si>
  <si>
    <t>M16X60 NUT AND BOLTS</t>
  </si>
  <si>
    <t>PVC BLACKOUT 650 GSM 2.5X85MTR</t>
  </si>
  <si>
    <t>5</t>
  </si>
  <si>
    <t>PAYMENT RELEASE VERIFICATION (MOST IMPORTANT)</t>
  </si>
  <si>
    <t>PVC KEDDER</t>
  </si>
  <si>
    <t>Current Project Progress</t>
  </si>
  <si>
    <t>Single Channel</t>
  </si>
  <si>
    <t>%</t>
  </si>
  <si>
    <t>If this payment is released:</t>
  </si>
  <si>
    <t>Expected Benefit</t>
  </si>
  <si>
    <t xml:space="preserve">📅Materials will arrive on: </t>
  </si>
  <si>
    <t>Double Channel</t>
  </si>
  <si>
    <t>☐ Production will continue</t>
  </si>
  <si>
    <t>☐ Engineering</t>
  </si>
  <si>
    <t xml:space="preserve">TOTAL </t>
  </si>
  <si>
    <t>☐ Painting</t>
  </si>
  <si>
    <r>
      <rPr>
        <sz val="9"/>
        <color rgb="FF111111"/>
        <rFont val="Times New Roman"/>
        <family val="1"/>
      </rP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n/a</t>
    </r>
  </si>
  <si>
    <t>TOTAL</t>
  </si>
  <si>
    <t>☐ Project delay will be avoided</t>
  </si>
  <si>
    <t>☐ Material Procurement</t>
  </si>
  <si>
    <r>
      <rPr>
        <sz val="9"/>
        <color rgb="FF111111"/>
        <rFont val="Times New Roman"/>
        <family val="1"/>
      </rP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n/a</t>
    </r>
  </si>
  <si>
    <t>☐ Fabric</t>
  </si>
  <si>
    <t xml:space="preserve">🚚 Delivery date: </t>
  </si>
  <si>
    <t>☐ Client milestone will be achieved</t>
  </si>
  <si>
    <t>☐ Fabrication</t>
  </si>
  <si>
    <t>☐ Dispatch</t>
  </si>
  <si>
    <t xml:space="preserve">👷 Installation date: </t>
  </si>
  <si>
    <t>☐ Client payment can be claimed</t>
  </si>
  <si>
    <t>☐ Installation</t>
  </si>
  <si>
    <t>NEXT CLIENT PAYMENT</t>
  </si>
  <si>
    <t>Expected Invoice Value (AED)</t>
  </si>
  <si>
    <t xml:space="preserve">Tranport </t>
  </si>
  <si>
    <t>Expected Collection Date</t>
  </si>
  <si>
    <t>70k</t>
  </si>
  <si>
    <t>TBD</t>
  </si>
  <si>
    <t>7</t>
  </si>
  <si>
    <t>REMARKS</t>
  </si>
  <si>
    <t>Budget Available</t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</si>
  <si>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</si>
  <si>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</si>
  <si>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t>Outstanding Supplier Balance</t>
  </si>
  <si>
    <t>AED= 0</t>
  </si>
  <si>
    <r>
      <rPr>
        <sz val="9"/>
        <color rgb="FF111111"/>
        <rFont val="Arial"/>
        <family val="2"/>
      </rPr>
      <t>📅Materials will arrive on: 21</t>
    </r>
    <r>
      <rPr>
        <b/>
        <sz val="9"/>
        <color rgb="FF111111"/>
        <rFont val="Arial"/>
        <family val="2"/>
      </rPr>
      <t>-8-2026</t>
    </r>
  </si>
  <si>
    <r>
      <rPr>
        <sz val="9"/>
        <color rgb="FF111111"/>
        <rFont val="Times New Roman"/>
        <family val="1"/>
      </rP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n/a</t>
    </r>
  </si>
  <si>
    <r>
      <rPr>
        <b/>
        <sz val="9"/>
        <color rgb="FF111111"/>
        <rFont val="Arial"/>
        <family val="2"/>
      </rPr>
      <t>🚚 Delivery date: Thursday 4</t>
    </r>
    <r>
      <rPr>
        <b/>
        <sz val="9"/>
        <color rgb="FF111111"/>
        <rFont val="Arial"/>
        <family val="2"/>
      </rPr>
      <t>rd</t>
    </r>
  </si>
  <si>
    <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after materials arrive</t>
    </r>
  </si>
  <si>
    <t>8</t>
  </si>
  <si>
    <t>APPROVAL FLOW</t>
  </si>
  <si>
    <r>
      <rPr>
        <sz val="9"/>
        <color rgb="FF111111"/>
        <rFont val="Arial"/>
        <family val="2"/>
      </rPr>
      <t xml:space="preserve">👷 Installation date: </t>
    </r>
    <r>
      <rPr>
        <b/>
        <sz val="9"/>
        <color rgb="FF111111"/>
        <rFont val="Arial"/>
        <family val="2"/>
      </rPr>
      <t>next week</t>
    </r>
  </si>
  <si>
    <t>STEP</t>
  </si>
  <si>
    <t>POSITION</t>
  </si>
  <si>
    <t>NAME</t>
  </si>
  <si>
    <t>SIGNATURE</t>
  </si>
  <si>
    <t>1</t>
  </si>
  <si>
    <t>Requested By</t>
  </si>
  <si>
    <t>Usman</t>
  </si>
  <si>
    <t>TBD after purchase</t>
  </si>
  <si>
    <t>2</t>
  </si>
  <si>
    <t>Approved By (Project Manager)</t>
  </si>
  <si>
    <t>Hamza</t>
  </si>
  <si>
    <t>3</t>
  </si>
  <si>
    <t>Verified By (Project Coordinator)</t>
  </si>
  <si>
    <t>Zoha</t>
  </si>
  <si>
    <t>4</t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</si>
  <si>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</si>
  <si>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t>Accounts Verification</t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</si>
  <si>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</si>
  <si>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t>Zain</t>
  </si>
  <si>
    <t>Final Approval</t>
  </si>
  <si>
    <t>Sadiya</t>
  </si>
  <si>
    <t>6</t>
  </si>
  <si>
    <t>Payment Released By</t>
  </si>
  <si>
    <t>Javeriya</t>
  </si>
  <si>
    <t>9</t>
  </si>
  <si>
    <t>FINAL DECISION</t>
  </si>
  <si>
    <t>●  APPROVED FOR PAYMENT</t>
  </si>
  <si>
    <t>Ⅱ  HOLD PAYMENT</t>
  </si>
  <si>
    <t>✕  REJECTED</t>
  </si>
  <si>
    <t>Reason (if Hold/Rejected):</t>
  </si>
  <si>
    <t>⌁  QUALITY IN EVERY DETAIL</t>
  </si>
  <si>
    <t>◈  COMMITMENT IN EVERY PROJECT</t>
  </si>
  <si>
    <t>🤝  TRUST IN EVERY PAYMENT</t>
  </si>
  <si>
    <t>Forca</t>
  </si>
  <si>
    <t>Project value</t>
  </si>
  <si>
    <t>HDPE 340 GSM 3X50</t>
  </si>
  <si>
    <t>AZTS-0006</t>
  </si>
  <si>
    <t xml:space="preserve">Inner space  + forca </t>
  </si>
  <si>
    <t>MS PIPE INCH-THK 6inch 5MM-6MTR</t>
  </si>
  <si>
    <t xml:space="preserve">Inner space </t>
  </si>
  <si>
    <t xml:space="preserve">D shackle </t>
  </si>
  <si>
    <t>First Source + Marhaba</t>
  </si>
  <si>
    <t>MS PIPE 30 x60x 2mm-6 m</t>
  </si>
  <si>
    <t xml:space="preserve">Webbing belt </t>
  </si>
  <si>
    <t xml:space="preserve">20x60 nuts and bolts </t>
  </si>
  <si>
    <t>First source</t>
  </si>
  <si>
    <t>Arabico 2nd LPO</t>
  </si>
  <si>
    <t>PVC BLACKOUT 850 GSM 2.5X50MTR</t>
  </si>
  <si>
    <t>HDPE 340 GSM 3X40</t>
  </si>
  <si>
    <t>PVC BLACKOUT 650 GSM 2.5X50MTR</t>
  </si>
  <si>
    <t>Marahaba</t>
  </si>
  <si>
    <t xml:space="preserve">Kedder </t>
  </si>
  <si>
    <t>Column MS PIPE 8INCH-THK 5MM-6MTR</t>
  </si>
  <si>
    <t>Arches MS PIPE 4INCH-THK 4MM-6MTR</t>
  </si>
  <si>
    <t>Connector MS PIPE 3INCH-THK 3MM-6MTR</t>
  </si>
  <si>
    <t>Tie rods MS PIPE 3INCH-THK 3MM-6MTR</t>
  </si>
  <si>
    <t>MS PLATE 1.2M X 2.4M-20MM</t>
  </si>
  <si>
    <t>MS PLATE 1.2M X 2.4M-6MM</t>
  </si>
  <si>
    <t>MS PLATE 1.2M X 2.4M-10MM</t>
  </si>
  <si>
    <t>MS PLATE 1.2M X 2.4M-12MM</t>
  </si>
  <si>
    <t>Tranport from locations</t>
  </si>
  <si>
    <r>
      <rPr>
        <sz val="9"/>
        <color rgb="FF111111"/>
        <rFont val="Times New Roman"/>
        <family val="1"/>
      </rP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n/a</t>
    </r>
  </si>
  <si>
    <t>AZTS-0013</t>
  </si>
  <si>
    <t>Promser</t>
  </si>
  <si>
    <t xml:space="preserve"> </t>
  </si>
  <si>
    <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after materials arrive</t>
    </r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</si>
  <si>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</si>
  <si>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after materials arrive</t>
    </r>
  </si>
  <si>
    <t>First Source + Marhaba + Al bateen</t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</si>
  <si>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</si>
  <si>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t>M20 THREAD ROD -2M</t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</si>
  <si>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</si>
  <si>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t>Al bateen</t>
  </si>
  <si>
    <t>M20 nuts</t>
  </si>
  <si>
    <t>Total</t>
  </si>
  <si>
    <t>M20 Washel</t>
  </si>
  <si>
    <t>with VAT</t>
  </si>
  <si>
    <t>Hilti Chemical</t>
  </si>
  <si>
    <t>PVC 900 GSM- 3x50 M Roll</t>
  </si>
  <si>
    <t>MS PLATE 1.2M X 2.4M-30MM</t>
  </si>
  <si>
    <t>first Source</t>
  </si>
  <si>
    <t>MS PLATE 1.2M X 2.4M-16MM</t>
  </si>
  <si>
    <t>Die</t>
  </si>
  <si>
    <t xml:space="preserve">Marhaba </t>
  </si>
  <si>
    <t xml:space="preserve">Paint, Epoxy thinner, Pu thinner </t>
  </si>
  <si>
    <t xml:space="preserve">National paints </t>
  </si>
  <si>
    <t xml:space="preserve">Tranport from 3 locations </t>
  </si>
  <si>
    <r>
      <rPr>
        <sz val="9"/>
        <color rgb="FF111111"/>
        <rFont val="Arial"/>
        <family val="2"/>
      </rPr>
      <t>📅Materials will arrive on: 12</t>
    </r>
    <r>
      <rPr>
        <b/>
        <sz val="9"/>
        <color rgb="FF111111"/>
        <rFont val="Arial"/>
        <family val="2"/>
      </rPr>
      <t>-8-2026</t>
    </r>
  </si>
  <si>
    <r>
      <t>⚙</t>
    </r>
    <r>
      <rPr>
        <sz val="9"/>
        <color rgb="FF111111"/>
        <rFont val="Arial"/>
        <family val="2"/>
      </rPr>
      <t xml:space="preserve"> Production can start on: </t>
    </r>
    <r>
      <rPr>
        <b/>
        <sz val="9"/>
        <color rgb="FF111111"/>
        <rFont val="Arial"/>
        <family val="2"/>
      </rPr>
      <t>after materials arrive</t>
    </r>
  </si>
  <si>
    <t>28/8/26</t>
  </si>
  <si>
    <r>
      <rPr>
        <sz val="9"/>
        <color rgb="FF111111"/>
        <rFont val="Times New Roman"/>
        <family val="1"/>
      </rPr>
      <t>☐</t>
    </r>
    <r>
      <rPr>
        <sz val="9"/>
        <color rgb="FF111111"/>
        <rFont val="Arial"/>
        <family val="2"/>
      </rPr>
      <t xml:space="preserve"> Yes     </t>
    </r>
  </si>
  <si>
    <r>
      <t xml:space="preserve">📅Materials will arrive on: </t>
    </r>
    <r>
      <rPr>
        <b/>
        <sz val="9"/>
        <color rgb="FF111111"/>
        <rFont val="Arial"/>
        <family val="2"/>
      </rPr>
      <t>28-10-2026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</si>
</sst>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yy"/>
    <numFmt numFmtId="165" formatCode="#,##0.00;\-#,##0.00"/>
    <numFmt numFmtId="166" formatCode="m\-d\-yy"/>
  </numFmts>
  <fonts count="41">
    <font>
      <sz val="11"/>
      <color rgb="FF000000"/>
      <name val="Carlito"/>
      <scheme val="minor"/>
    </font>
    <font>
      <b/>
      <sz val="17"/>
      <color rgb="FFC8A96A"/>
      <name val="Arial"/>
      <family val="2"/>
    </font>
    <font>
      <sz val="11"/>
      <name val="Carlito"/>
    </font>
    <font>
      <b/>
      <sz val="20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C8A96A"/>
      <name val="Arial"/>
      <family val="2"/>
    </font>
    <font>
      <b/>
      <sz val="9"/>
      <color rgb="FFFFFFFF"/>
      <name val="Arial"/>
      <family val="2"/>
    </font>
    <font>
      <sz val="9"/>
      <color rgb="FFF2EFE6"/>
      <name val="Arial"/>
      <family val="2"/>
    </font>
    <font>
      <b/>
      <sz val="9"/>
      <color rgb="FFC8A96A"/>
      <name val="Arial"/>
      <family val="2"/>
    </font>
    <font>
      <b/>
      <sz val="11"/>
      <color rgb="FFFFFFFF"/>
      <name val="Arial"/>
      <family val="2"/>
    </font>
    <font>
      <sz val="9"/>
      <color rgb="FF111111"/>
      <name val="Arial"/>
      <family val="2"/>
    </font>
    <font>
      <b/>
      <sz val="10"/>
      <color rgb="FF111111"/>
      <name val="Arial"/>
      <family val="2"/>
    </font>
    <font>
      <b/>
      <sz val="9"/>
      <color rgb="FF111111"/>
      <name val="Arial"/>
      <family val="2"/>
    </font>
    <font>
      <b/>
      <sz val="13"/>
      <color rgb="FF111111"/>
      <name val="Arial"/>
      <family val="2"/>
    </font>
    <font>
      <b/>
      <sz val="12"/>
      <color rgb="FF111111"/>
      <name val="Arial"/>
      <family val="2"/>
    </font>
    <font>
      <b/>
      <sz val="11"/>
      <color rgb="FF111111"/>
      <name val="Arial"/>
      <family val="2"/>
    </font>
    <font>
      <b/>
      <sz val="12"/>
      <color rgb="FFFFFFFF"/>
      <name val="Arial"/>
      <family val="2"/>
    </font>
    <font>
      <sz val="11"/>
      <color theme="1"/>
      <name val="Carlito"/>
      <scheme val="minor"/>
    </font>
    <font>
      <sz val="12"/>
      <color rgb="FF111111"/>
      <name val="Arial"/>
      <family val="2"/>
    </font>
    <font>
      <sz val="12"/>
      <color theme="1"/>
      <name val="Carlito"/>
      <scheme val="minor"/>
    </font>
    <font>
      <b/>
      <sz val="12"/>
      <color rgb="FF0A1322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rlito"/>
    </font>
    <font>
      <b/>
      <sz val="9"/>
      <color rgb="FF0A1322"/>
      <name val="Arial"/>
      <family val="2"/>
    </font>
    <font>
      <b/>
      <sz val="11"/>
      <color theme="1"/>
      <name val="Arial"/>
      <family val="2"/>
    </font>
    <font>
      <b/>
      <sz val="12"/>
      <color rgb="FFC8A96A"/>
      <name val="Arial"/>
      <family val="2"/>
    </font>
    <font>
      <sz val="9"/>
      <color rgb="FF111111"/>
      <name val="Times New Roman"/>
      <family val="1"/>
    </font>
    <font>
      <b/>
      <i/>
      <sz val="9"/>
      <color rgb="FF111111"/>
      <name val="Arial"/>
      <family val="2"/>
    </font>
    <font>
      <b/>
      <sz val="15"/>
      <color theme="1"/>
      <name val="Arial"/>
      <family val="2"/>
    </font>
    <font>
      <b/>
      <sz val="14"/>
      <color rgb="FF0A1322"/>
      <name val="Arial"/>
      <family val="2"/>
    </font>
    <font>
      <b/>
      <sz val="17"/>
      <color theme="1"/>
      <name val="Carlito"/>
      <scheme val="minor"/>
    </font>
    <font>
      <sz val="8"/>
      <color rgb="FFF2EFE6"/>
      <name val="Carlito"/>
    </font>
    <font>
      <b/>
      <sz val="13"/>
      <color theme="1"/>
      <name val="Calibri"/>
      <family val="2"/>
    </font>
    <font>
      <sz val="10"/>
      <color rgb="FF111111"/>
      <name val="Arial"/>
      <family val="2"/>
    </font>
    <font>
      <b/>
      <sz val="13"/>
      <color rgb="FF0A1322"/>
      <name val="Arial"/>
      <family val="2"/>
    </font>
    <font>
      <b/>
      <sz val="13"/>
      <color theme="1"/>
      <name val="Carlito"/>
      <scheme val="minor"/>
    </font>
    <font>
      <b/>
      <sz val="12"/>
      <color theme="1"/>
      <name val="Carlito"/>
      <scheme val="minor"/>
    </font>
    <font>
      <b/>
      <sz val="15"/>
      <color theme="1"/>
      <name val="Carlito"/>
      <scheme val="minor"/>
    </font>
    <font>
      <b/>
      <i/>
      <sz val="12"/>
      <color rgb="FF111111"/>
      <name val="Arial"/>
      <family val="2"/>
    </font>
    <font>
      <b/>
      <sz val="15"/>
      <color rgb="FF1111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A1322"/>
        <bgColor rgb="FF0A1322"/>
      </patternFill>
    </fill>
    <fill>
      <patternFill patternType="solid">
        <fgColor rgb="FFF7F7F5"/>
        <bgColor rgb="FFF7F7F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EFE6"/>
        <bgColor rgb="FFF2EFE6"/>
      </patternFill>
    </fill>
    <fill>
      <patternFill patternType="solid">
        <fgColor rgb="FFC8A96A"/>
        <bgColor rgb="FFC8A96A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2EFE6"/>
      </left>
      <right style="thin">
        <color rgb="FFF2EFE6"/>
      </right>
      <top/>
      <bottom style="thin">
        <color rgb="FFF2EFE6"/>
      </bottom>
      <diagonal/>
    </border>
    <border>
      <left style="thin">
        <color rgb="FFF2EFE6"/>
      </left>
      <right style="thin">
        <color rgb="FFF2EFE6"/>
      </right>
      <top style="thin">
        <color rgb="FFF2EFE6"/>
      </top>
      <bottom style="thin">
        <color rgb="FFF2EFE6"/>
      </bottom>
      <diagonal/>
    </border>
    <border>
      <left/>
      <right/>
      <top/>
      <bottom/>
      <diagonal/>
    </border>
    <border>
      <left style="thin">
        <color rgb="FFF2EFE6"/>
      </left>
      <right/>
      <top/>
      <bottom style="thin">
        <color rgb="FFF2EFE6"/>
      </bottom>
      <diagonal/>
    </border>
    <border>
      <left style="thin">
        <color rgb="FFF2EFE6"/>
      </left>
      <right/>
      <top style="thin">
        <color rgb="FFF2EFE6"/>
      </top>
      <bottom style="thin">
        <color rgb="FFF2EFE6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9" fillId="2" borderId="5" xfId="0" applyFont="1" applyFill="1" applyBorder="1" applyAlignment="1">
      <alignment vertical="center"/>
    </xf>
    <xf numFmtId="0" fontId="10" fillId="0" borderId="0" xfId="0" applyFont="1"/>
    <xf numFmtId="0" fontId="9" fillId="2" borderId="12" xfId="0" applyFont="1" applyFill="1" applyBorder="1" applyAlignment="1">
      <alignment vertical="center"/>
    </xf>
    <xf numFmtId="0" fontId="17" fillId="2" borderId="0" xfId="0" applyFont="1" applyFill="1"/>
    <xf numFmtId="0" fontId="16" fillId="2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6" borderId="16" xfId="0" applyFont="1" applyFill="1" applyBorder="1" applyAlignment="1">
      <alignment horizontal="center"/>
    </xf>
    <xf numFmtId="0" fontId="21" fillId="4" borderId="16" xfId="0" applyFont="1" applyFill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2" fillId="0" borderId="16" xfId="0" applyFont="1" applyBorder="1" applyAlignment="1">
      <alignment horizontal="center" vertical="center"/>
    </xf>
    <xf numFmtId="4" fontId="14" fillId="4" borderId="16" xfId="0" applyNumberFormat="1" applyFont="1" applyFill="1" applyBorder="1" applyAlignment="1">
      <alignment horizontal="center"/>
    </xf>
    <xf numFmtId="0" fontId="21" fillId="0" borderId="15" xfId="0" applyFont="1" applyBorder="1" applyAlignment="1">
      <alignment horizontal="left"/>
    </xf>
    <xf numFmtId="0" fontId="22" fillId="0" borderId="16" xfId="0" applyFont="1" applyBorder="1" applyAlignment="1">
      <alignment horizontal="right" vertical="center"/>
    </xf>
    <xf numFmtId="0" fontId="21" fillId="0" borderId="16" xfId="0" applyFont="1" applyBorder="1" applyAlignment="1">
      <alignment horizontal="left"/>
    </xf>
    <xf numFmtId="4" fontId="15" fillId="4" borderId="16" xfId="0" applyNumberFormat="1" applyFont="1" applyFill="1" applyBorder="1" applyAlignment="1">
      <alignment horizontal="left" vertical="center"/>
    </xf>
    <xf numFmtId="4" fontId="14" fillId="4" borderId="16" xfId="0" applyNumberFormat="1" applyFont="1" applyFill="1" applyBorder="1" applyAlignment="1">
      <alignment horizontal="right" vertical="center"/>
    </xf>
    <xf numFmtId="0" fontId="18" fillId="0" borderId="0" xfId="0" applyFont="1"/>
    <xf numFmtId="0" fontId="23" fillId="0" borderId="0" xfId="0" applyFont="1"/>
    <xf numFmtId="0" fontId="24" fillId="6" borderId="12" xfId="0" applyFont="1" applyFill="1" applyBorder="1" applyAlignment="1">
      <alignment horizontal="right"/>
    </xf>
    <xf numFmtId="0" fontId="14" fillId="4" borderId="0" xfId="0" applyFont="1" applyFill="1" applyAlignment="1">
      <alignment horizontal="left" wrapText="1"/>
    </xf>
    <xf numFmtId="0" fontId="22" fillId="0" borderId="0" xfId="0" applyFont="1" applyAlignment="1">
      <alignment horizontal="center" vertical="center"/>
    </xf>
    <xf numFmtId="4" fontId="24" fillId="6" borderId="12" xfId="0" applyNumberFormat="1" applyFont="1" applyFill="1" applyBorder="1" applyAlignment="1">
      <alignment horizontal="right"/>
    </xf>
    <xf numFmtId="0" fontId="22" fillId="0" borderId="0" xfId="0" applyFont="1" applyAlignment="1">
      <alignment horizontal="right" vertical="center"/>
    </xf>
    <xf numFmtId="4" fontId="14" fillId="4" borderId="0" xfId="0" applyNumberFormat="1" applyFont="1" applyFill="1" applyAlignment="1">
      <alignment horizontal="right" vertical="center"/>
    </xf>
    <xf numFmtId="0" fontId="14" fillId="0" borderId="12" xfId="0" applyFont="1" applyBorder="1" applyAlignment="1">
      <alignment vertical="center"/>
    </xf>
    <xf numFmtId="4" fontId="15" fillId="4" borderId="16" xfId="0" applyNumberFormat="1" applyFont="1" applyFill="1" applyBorder="1" applyAlignment="1">
      <alignment horizontal="left"/>
    </xf>
    <xf numFmtId="0" fontId="14" fillId="0" borderId="0" xfId="0" applyFont="1" applyAlignment="1">
      <alignment vertical="center"/>
    </xf>
    <xf numFmtId="0" fontId="25" fillId="0" borderId="14" xfId="0" applyFont="1" applyBorder="1" applyAlignment="1">
      <alignment horizontal="left"/>
    </xf>
    <xf numFmtId="4" fontId="20" fillId="6" borderId="12" xfId="0" applyNumberFormat="1" applyFont="1" applyFill="1" applyBorder="1" applyAlignment="1">
      <alignment horizontal="right"/>
    </xf>
    <xf numFmtId="0" fontId="25" fillId="0" borderId="15" xfId="0" applyFont="1" applyBorder="1" applyAlignment="1">
      <alignment horizontal="left"/>
    </xf>
    <xf numFmtId="4" fontId="20" fillId="0" borderId="12" xfId="0" applyNumberFormat="1" applyFont="1" applyBorder="1" applyAlignment="1">
      <alignment horizontal="right"/>
    </xf>
    <xf numFmtId="0" fontId="15" fillId="4" borderId="14" xfId="0" applyFont="1" applyFill="1" applyBorder="1" applyAlignment="1">
      <alignment horizontal="left"/>
    </xf>
    <xf numFmtId="0" fontId="15" fillId="4" borderId="15" xfId="0" applyFont="1" applyFill="1" applyBorder="1" applyAlignment="1">
      <alignment horizontal="left"/>
    </xf>
    <xf numFmtId="0" fontId="26" fillId="2" borderId="12" xfId="0" applyFont="1" applyFill="1" applyBorder="1" applyAlignment="1">
      <alignment horizontal="center" vertical="center"/>
    </xf>
    <xf numFmtId="0" fontId="22" fillId="0" borderId="0" xfId="0" applyFont="1"/>
    <xf numFmtId="0" fontId="20" fillId="6" borderId="0" xfId="0" applyFont="1" applyFill="1" applyAlignment="1">
      <alignment horizontal="center"/>
    </xf>
    <xf numFmtId="1" fontId="10" fillId="4" borderId="16" xfId="0" applyNumberFormat="1" applyFont="1" applyFill="1" applyBorder="1"/>
    <xf numFmtId="4" fontId="14" fillId="4" borderId="0" xfId="0" applyNumberFormat="1" applyFont="1" applyFill="1"/>
    <xf numFmtId="0" fontId="14" fillId="0" borderId="0" xfId="0" applyFont="1" applyAlignment="1">
      <alignment horizontal="center" vertical="center"/>
    </xf>
    <xf numFmtId="0" fontId="24" fillId="6" borderId="17" xfId="0" applyFont="1" applyFill="1" applyBorder="1" applyAlignment="1">
      <alignment horizontal="right"/>
    </xf>
    <xf numFmtId="0" fontId="10" fillId="4" borderId="12" xfId="0" applyFont="1" applyFill="1" applyBorder="1"/>
    <xf numFmtId="4" fontId="24" fillId="6" borderId="17" xfId="0" applyNumberFormat="1" applyFont="1" applyFill="1" applyBorder="1" applyAlignment="1">
      <alignment horizontal="right"/>
    </xf>
    <xf numFmtId="4" fontId="24" fillId="6" borderId="9" xfId="0" applyNumberFormat="1" applyFont="1" applyFill="1" applyBorder="1" applyAlignment="1">
      <alignment horizontal="right"/>
    </xf>
    <xf numFmtId="0" fontId="10" fillId="6" borderId="18" xfId="0" applyFont="1" applyFill="1" applyBorder="1"/>
    <xf numFmtId="0" fontId="20" fillId="6" borderId="12" xfId="0" applyFont="1" applyFill="1" applyBorder="1" applyAlignment="1">
      <alignment horizontal="right"/>
    </xf>
    <xf numFmtId="0" fontId="12" fillId="0" borderId="0" xfId="0" applyFont="1"/>
    <xf numFmtId="4" fontId="24" fillId="6" borderId="4" xfId="0" applyNumberFormat="1" applyFont="1" applyFill="1" applyBorder="1" applyAlignment="1">
      <alignment horizontal="right"/>
    </xf>
    <xf numFmtId="0" fontId="10" fillId="6" borderId="19" xfId="0" applyFont="1" applyFill="1" applyBorder="1"/>
    <xf numFmtId="0" fontId="12" fillId="0" borderId="0" xfId="0" applyFont="1" applyAlignment="1">
      <alignment horizontal="center" wrapText="1"/>
    </xf>
    <xf numFmtId="4" fontId="10" fillId="4" borderId="12" xfId="0" applyNumberFormat="1" applyFont="1" applyFill="1" applyBorder="1"/>
    <xf numFmtId="4" fontId="29" fillId="5" borderId="12" xfId="0" applyNumberFormat="1" applyFont="1" applyFill="1" applyBorder="1" applyAlignment="1">
      <alignment horizontal="right"/>
    </xf>
    <xf numFmtId="3" fontId="31" fillId="5" borderId="0" xfId="0" applyNumberFormat="1" applyFont="1" applyFill="1"/>
    <xf numFmtId="1" fontId="10" fillId="4" borderId="12" xfId="0" applyNumberFormat="1" applyFont="1" applyFill="1" applyBorder="1"/>
    <xf numFmtId="0" fontId="24" fillId="7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0" fillId="4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2" borderId="20" xfId="0" applyFont="1" applyFill="1" applyBorder="1" applyAlignment="1">
      <alignment horizontal="center" vertical="center" wrapText="1"/>
    </xf>
    <xf numFmtId="4" fontId="14" fillId="4" borderId="1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3" fillId="0" borderId="16" xfId="0" applyFont="1" applyBorder="1"/>
    <xf numFmtId="0" fontId="25" fillId="0" borderId="16" xfId="0" applyFont="1" applyBorder="1"/>
    <xf numFmtId="0" fontId="34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20" fillId="6" borderId="16" xfId="0" applyFont="1" applyFill="1" applyBorder="1" applyAlignment="1">
      <alignment horizontal="right"/>
    </xf>
    <xf numFmtId="4" fontId="14" fillId="0" borderId="0" xfId="0" applyNumberFormat="1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4" fontId="14" fillId="4" borderId="16" xfId="0" applyNumberFormat="1" applyFont="1" applyFill="1" applyBorder="1"/>
    <xf numFmtId="0" fontId="25" fillId="0" borderId="0" xfId="0" applyFont="1"/>
    <xf numFmtId="0" fontId="20" fillId="0" borderId="0" xfId="0" applyFont="1" applyAlignment="1">
      <alignment horizontal="center"/>
    </xf>
    <xf numFmtId="0" fontId="24" fillId="6" borderId="16" xfId="0" applyFont="1" applyFill="1" applyBorder="1" applyAlignment="1">
      <alignment horizontal="right"/>
    </xf>
    <xf numFmtId="4" fontId="15" fillId="4" borderId="16" xfId="0" applyNumberFormat="1" applyFont="1" applyFill="1" applyBorder="1"/>
    <xf numFmtId="0" fontId="33" fillId="0" borderId="0" xfId="0" applyFont="1"/>
    <xf numFmtId="0" fontId="14" fillId="0" borderId="0" xfId="0" applyFont="1"/>
    <xf numFmtId="0" fontId="14" fillId="4" borderId="16" xfId="0" applyFont="1" applyFill="1" applyBorder="1"/>
    <xf numFmtId="4" fontId="14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4" fontId="24" fillId="0" borderId="0" xfId="0" applyNumberFormat="1" applyFont="1" applyAlignment="1">
      <alignment horizontal="right"/>
    </xf>
    <xf numFmtId="0" fontId="35" fillId="6" borderId="16" xfId="0" applyFont="1" applyFill="1" applyBorder="1" applyAlignment="1">
      <alignment horizontal="center"/>
    </xf>
    <xf numFmtId="4" fontId="35" fillId="0" borderId="16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20" fillId="6" borderId="0" xfId="0" applyFont="1" applyFill="1" applyAlignment="1">
      <alignment horizontal="right"/>
    </xf>
    <xf numFmtId="4" fontId="20" fillId="6" borderId="0" xfId="0" applyNumberFormat="1" applyFont="1" applyFill="1" applyAlignment="1">
      <alignment horizontal="right"/>
    </xf>
    <xf numFmtId="4" fontId="24" fillId="6" borderId="0" xfId="0" applyNumberFormat="1" applyFont="1" applyFill="1" applyAlignment="1">
      <alignment horizontal="right"/>
    </xf>
    <xf numFmtId="0" fontId="10" fillId="6" borderId="0" xfId="0" applyFont="1" applyFill="1"/>
    <xf numFmtId="0" fontId="20" fillId="0" borderId="0" xfId="0" applyFont="1" applyAlignment="1">
      <alignment horizontal="right"/>
    </xf>
    <xf numFmtId="4" fontId="20" fillId="0" borderId="0" xfId="0" applyNumberFormat="1" applyFont="1" applyAlignment="1">
      <alignment horizontal="right"/>
    </xf>
    <xf numFmtId="4" fontId="20" fillId="6" borderId="17" xfId="0" applyNumberFormat="1" applyFont="1" applyFill="1" applyBorder="1" applyAlignment="1">
      <alignment horizontal="right"/>
    </xf>
    <xf numFmtId="0" fontId="10" fillId="6" borderId="21" xfId="0" applyFont="1" applyFill="1" applyBorder="1"/>
    <xf numFmtId="0" fontId="37" fillId="0" borderId="0" xfId="0" applyFont="1"/>
    <xf numFmtId="0" fontId="38" fillId="0" borderId="0" xfId="0" applyFont="1"/>
    <xf numFmtId="0" fontId="36" fillId="0" borderId="0" xfId="0" applyFont="1"/>
    <xf numFmtId="0" fontId="10" fillId="6" borderId="22" xfId="0" applyFont="1" applyFill="1" applyBorder="1"/>
    <xf numFmtId="3" fontId="31" fillId="0" borderId="0" xfId="0" applyNumberFormat="1" applyFont="1"/>
    <xf numFmtId="0" fontId="17" fillId="0" borderId="0" xfId="0" applyFont="1"/>
    <xf numFmtId="4" fontId="37" fillId="0" borderId="0" xfId="0" applyNumberFormat="1" applyFont="1"/>
    <xf numFmtId="0" fontId="14" fillId="4" borderId="0" xfId="0" applyFont="1" applyFill="1"/>
    <xf numFmtId="4" fontId="14" fillId="4" borderId="0" xfId="0" applyNumberFormat="1" applyFont="1" applyFill="1" applyAlignment="1">
      <alignment horizontal="center"/>
    </xf>
    <xf numFmtId="0" fontId="10" fillId="0" borderId="0" xfId="0" applyFont="1"/>
    <xf numFmtId="0" fontId="0" fillId="0" borderId="0" xfId="0"/>
    <xf numFmtId="0" fontId="10" fillId="0" borderId="4" xfId="0" applyFont="1" applyBorder="1"/>
    <xf numFmtId="0" fontId="2" fillId="0" borderId="8" xfId="0" applyFont="1" applyBorder="1"/>
    <xf numFmtId="0" fontId="2" fillId="0" borderId="5" xfId="0" applyFont="1" applyBorder="1"/>
    <xf numFmtId="0" fontId="27" fillId="0" borderId="0" xfId="0" applyFont="1"/>
    <xf numFmtId="0" fontId="10" fillId="5" borderId="0" xfId="0" applyFont="1" applyFill="1"/>
    <xf numFmtId="0" fontId="12" fillId="0" borderId="0" xfId="0" applyFont="1"/>
    <xf numFmtId="0" fontId="20" fillId="6" borderId="4" xfId="0" applyFont="1" applyFill="1" applyBorder="1" applyAlignment="1">
      <alignment horizontal="right"/>
    </xf>
    <xf numFmtId="0" fontId="30" fillId="6" borderId="4" xfId="0" applyFont="1" applyFill="1" applyBorder="1" applyAlignment="1">
      <alignment horizontal="right"/>
    </xf>
    <xf numFmtId="0" fontId="9" fillId="2" borderId="4" xfId="0" applyFont="1" applyFill="1" applyBorder="1" applyAlignment="1">
      <alignment vertical="center"/>
    </xf>
    <xf numFmtId="0" fontId="24" fillId="6" borderId="4" xfId="0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4" fontId="14" fillId="5" borderId="4" xfId="0" applyNumberFormat="1" applyFont="1" applyFill="1" applyBorder="1" applyAlignment="1">
      <alignment horizontal="center"/>
    </xf>
    <xf numFmtId="0" fontId="14" fillId="5" borderId="4" xfId="0" applyFont="1" applyFill="1" applyBorder="1"/>
    <xf numFmtId="4" fontId="10" fillId="4" borderId="4" xfId="0" applyNumberFormat="1" applyFont="1" applyFill="1" applyBorder="1"/>
    <xf numFmtId="0" fontId="10" fillId="4" borderId="4" xfId="0" applyFont="1" applyFill="1" applyBorder="1"/>
    <xf numFmtId="0" fontId="24" fillId="7" borderId="4" xfId="0" applyFont="1" applyFill="1" applyBorder="1" applyAlignment="1">
      <alignment horizontal="center" vertical="center"/>
    </xf>
    <xf numFmtId="0" fontId="10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2" fillId="0" borderId="13" xfId="0" applyFont="1" applyBorder="1" applyAlignment="1">
      <alignment horizontal="center" vertical="center"/>
    </xf>
    <xf numFmtId="0" fontId="10" fillId="4" borderId="13" xfId="0" applyFont="1" applyFill="1" applyBorder="1"/>
    <xf numFmtId="0" fontId="10" fillId="4" borderId="13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2" fillId="0" borderId="0" xfId="0" applyFont="1" applyAlignment="1">
      <alignment horizontal="center" vertical="center"/>
    </xf>
    <xf numFmtId="0" fontId="10" fillId="4" borderId="1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4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165" fontId="13" fillId="5" borderId="4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4" fontId="10" fillId="4" borderId="4" xfId="0" applyNumberFormat="1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5" borderId="4" xfId="0" applyFont="1" applyFill="1" applyBorder="1"/>
    <xf numFmtId="4" fontId="13" fillId="5" borderId="4" xfId="0" applyNumberFormat="1" applyFont="1" applyFill="1" applyBorder="1" applyAlignment="1">
      <alignment horizontal="center"/>
    </xf>
    <xf numFmtId="0" fontId="28" fillId="5" borderId="4" xfId="0" applyFont="1" applyFill="1" applyBorder="1"/>
    <xf numFmtId="165" fontId="15" fillId="5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164" fontId="10" fillId="4" borderId="4" xfId="0" applyNumberFormat="1" applyFont="1" applyFill="1" applyBorder="1" applyAlignment="1">
      <alignment vertical="center"/>
    </xf>
    <xf numFmtId="0" fontId="14" fillId="4" borderId="13" xfId="0" applyFont="1" applyFill="1" applyBorder="1" applyAlignment="1">
      <alignment horizontal="left" wrapText="1"/>
    </xf>
    <xf numFmtId="0" fontId="12" fillId="3" borderId="4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left" vertical="center"/>
    </xf>
    <xf numFmtId="0" fontId="14" fillId="0" borderId="13" xfId="0" applyFont="1" applyBorder="1" applyAlignment="1">
      <alignment horizontal="center"/>
    </xf>
    <xf numFmtId="4" fontId="15" fillId="5" borderId="4" xfId="0" applyNumberFormat="1" applyFont="1" applyFill="1" applyBorder="1" applyAlignment="1">
      <alignment horizontal="center"/>
    </xf>
    <xf numFmtId="0" fontId="15" fillId="4" borderId="13" xfId="0" applyFont="1" applyFill="1" applyBorder="1"/>
    <xf numFmtId="3" fontId="14" fillId="4" borderId="4" xfId="0" applyNumberFormat="1" applyFont="1" applyFill="1" applyBorder="1" applyAlignment="1">
      <alignment horizontal="left" vertical="center"/>
    </xf>
    <xf numFmtId="165" fontId="13" fillId="5" borderId="4" xfId="0" applyNumberFormat="1" applyFont="1" applyFill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22" fillId="0" borderId="13" xfId="0" applyFont="1" applyBorder="1"/>
    <xf numFmtId="4" fontId="24" fillId="0" borderId="13" xfId="0" applyNumberFormat="1" applyFont="1" applyBorder="1" applyAlignment="1">
      <alignment horizontal="center"/>
    </xf>
    <xf numFmtId="166" fontId="39" fillId="5" borderId="4" xfId="0" applyNumberFormat="1" applyFont="1" applyFill="1" applyBorder="1"/>
    <xf numFmtId="0" fontId="14" fillId="4" borderId="13" xfId="0" applyFont="1" applyFill="1" applyBorder="1"/>
    <xf numFmtId="0" fontId="13" fillId="4" borderId="13" xfId="0" applyFont="1" applyFill="1" applyBorder="1"/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4" fillId="0" borderId="0" xfId="0" applyFont="1" applyAlignment="1">
      <alignment horizontal="center" vertical="center"/>
    </xf>
    <xf numFmtId="0" fontId="15" fillId="4" borderId="13" xfId="0" applyFont="1" applyFill="1" applyBorder="1" applyAlignment="1">
      <alignment horizontal="left" wrapText="1"/>
    </xf>
    <xf numFmtId="0" fontId="25" fillId="0" borderId="13" xfId="0" applyFont="1" applyBorder="1"/>
    <xf numFmtId="0" fontId="25" fillId="0" borderId="0" xfId="0" applyFont="1"/>
    <xf numFmtId="0" fontId="13" fillId="0" borderId="0" xfId="0" applyFont="1"/>
    <xf numFmtId="0" fontId="20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14" fillId="0" borderId="0" xfId="0" applyFont="1"/>
    <xf numFmtId="4" fontId="14" fillId="5" borderId="4" xfId="0" applyNumberFormat="1" applyFont="1" applyFill="1" applyBorder="1" applyAlignment="1">
      <alignment horizontal="left"/>
    </xf>
    <xf numFmtId="0" fontId="18" fillId="5" borderId="4" xfId="0" applyFont="1" applyFill="1" applyBorder="1"/>
    <xf numFmtId="0" fontId="15" fillId="0" borderId="13" xfId="0" applyFont="1" applyBorder="1"/>
    <xf numFmtId="0" fontId="15" fillId="0" borderId="0" xfId="0" applyFont="1"/>
    <xf numFmtId="0" fontId="33" fillId="0" borderId="13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20" fillId="6" borderId="9" xfId="0" applyFont="1" applyFill="1" applyBorder="1" applyAlignment="1">
      <alignment horizontal="right"/>
    </xf>
    <xf numFmtId="0" fontId="36" fillId="0" borderId="0" xfId="0" applyFont="1" applyAlignment="1">
      <alignment horizontal="right"/>
    </xf>
    <xf numFmtId="4" fontId="40" fillId="5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9765625" defaultRowHeight="15" customHeight="1"/>
  <cols>
    <col min="1" max="1" width="15.69921875" customWidth="1"/>
    <col min="2" max="2" width="33.09765625" customWidth="1"/>
    <col min="3" max="4" width="0.3984375" customWidth="1"/>
    <col min="5" max="5" width="5.09765625" customWidth="1"/>
    <col min="6" max="6" width="11.69921875" customWidth="1"/>
    <col min="7" max="7" width="10.5" customWidth="1"/>
    <col min="8" max="8" width="14.69921875" customWidth="1"/>
    <col min="9" max="9" width="0.3984375" customWidth="1"/>
    <col min="10" max="10" width="10.59765625" customWidth="1"/>
    <col min="11" max="11" width="7.5" customWidth="1"/>
    <col min="12" max="12" width="6.3984375" customWidth="1"/>
    <col min="13" max="26" width="9" customWidth="1"/>
  </cols>
  <sheetData>
    <row r="1" spans="1:26" ht="25.5" customHeight="1">
      <c r="A1" s="151" t="s">
        <v>0</v>
      </c>
      <c r="B1" s="128"/>
      <c r="C1" s="129"/>
      <c r="D1" s="139" t="s">
        <v>1</v>
      </c>
      <c r="E1" s="128"/>
      <c r="F1" s="128"/>
      <c r="G1" s="128"/>
      <c r="H1" s="128"/>
      <c r="I1" s="129"/>
      <c r="J1" s="137"/>
      <c r="K1" s="106"/>
      <c r="L1" s="107"/>
    </row>
    <row r="2" spans="1:26" ht="14.25" customHeight="1">
      <c r="A2" s="135"/>
      <c r="B2" s="104"/>
      <c r="C2" s="136"/>
      <c r="D2" s="135"/>
      <c r="E2" s="104"/>
      <c r="F2" s="104"/>
      <c r="G2" s="104"/>
      <c r="H2" s="104"/>
      <c r="I2" s="136"/>
      <c r="J2" s="140"/>
      <c r="K2" s="106"/>
      <c r="L2" s="107"/>
    </row>
    <row r="3" spans="1:26" ht="14.25" customHeight="1">
      <c r="A3" s="135"/>
      <c r="B3" s="104"/>
      <c r="C3" s="136"/>
      <c r="D3" s="135"/>
      <c r="E3" s="104"/>
      <c r="F3" s="104"/>
      <c r="G3" s="104"/>
      <c r="H3" s="104"/>
      <c r="I3" s="136"/>
      <c r="J3" s="137" t="s">
        <v>2</v>
      </c>
      <c r="K3" s="106"/>
      <c r="L3" s="107"/>
    </row>
    <row r="4" spans="1:26" ht="14.25" customHeight="1">
      <c r="A4" s="135"/>
      <c r="B4" s="104"/>
      <c r="C4" s="136"/>
      <c r="D4" s="130"/>
      <c r="E4" s="131"/>
      <c r="F4" s="131"/>
      <c r="G4" s="131"/>
      <c r="H4" s="131"/>
      <c r="I4" s="132"/>
      <c r="J4" s="141" t="s">
        <v>3</v>
      </c>
      <c r="K4" s="106"/>
      <c r="L4" s="107"/>
    </row>
    <row r="5" spans="1:26" ht="16.5" customHeight="1">
      <c r="A5" s="135"/>
      <c r="B5" s="104"/>
      <c r="C5" s="136"/>
      <c r="D5" s="142"/>
      <c r="E5" s="128"/>
      <c r="F5" s="128"/>
      <c r="G5" s="128"/>
      <c r="H5" s="128"/>
      <c r="I5" s="129"/>
      <c r="J5" s="137" t="s">
        <v>5</v>
      </c>
      <c r="K5" s="106"/>
      <c r="L5" s="107"/>
    </row>
    <row r="6" spans="1:26" ht="16.5" customHeight="1">
      <c r="A6" s="130"/>
      <c r="B6" s="131"/>
      <c r="C6" s="132"/>
      <c r="D6" s="130"/>
      <c r="E6" s="131"/>
      <c r="F6" s="131"/>
      <c r="G6" s="131"/>
      <c r="H6" s="131"/>
      <c r="I6" s="132"/>
      <c r="J6" s="138" t="s">
        <v>6</v>
      </c>
      <c r="K6" s="106"/>
      <c r="L6" s="107"/>
    </row>
    <row r="7" spans="1:26" ht="14.25" customHeight="1"/>
    <row r="8" spans="1:26" ht="22.5" customHeight="1">
      <c r="A8" s="113" t="s">
        <v>7</v>
      </c>
      <c r="B8" s="106"/>
      <c r="C8" s="106"/>
      <c r="D8" s="106"/>
      <c r="E8" s="106"/>
      <c r="F8" s="106"/>
      <c r="G8" s="106"/>
      <c r="H8" s="106"/>
      <c r="I8" s="106"/>
      <c r="J8" s="106"/>
      <c r="K8" s="107"/>
      <c r="L8" s="1"/>
    </row>
    <row r="9" spans="1:26" ht="14.25" customHeight="1">
      <c r="A9" s="143" t="s">
        <v>12</v>
      </c>
      <c r="B9" s="107"/>
      <c r="C9" s="149"/>
      <c r="D9" s="106"/>
      <c r="E9" s="106"/>
      <c r="F9" s="107"/>
      <c r="G9" s="143"/>
      <c r="H9" s="107"/>
      <c r="I9" s="150"/>
      <c r="J9" s="106"/>
      <c r="K9" s="106"/>
      <c r="L9" s="107"/>
    </row>
    <row r="10" spans="1:26" ht="14.25" customHeight="1">
      <c r="A10" s="143" t="s">
        <v>14</v>
      </c>
      <c r="B10" s="107"/>
      <c r="C10" s="149"/>
      <c r="D10" s="106"/>
      <c r="E10" s="106"/>
      <c r="F10" s="107"/>
      <c r="G10" s="143"/>
      <c r="H10" s="107"/>
      <c r="I10" s="150"/>
      <c r="J10" s="106"/>
      <c r="K10" s="106"/>
      <c r="L10" s="107"/>
    </row>
    <row r="11" spans="1:26" ht="14.25" customHeight="1">
      <c r="A11" s="143" t="s">
        <v>17</v>
      </c>
      <c r="B11" s="107"/>
      <c r="C11" s="149"/>
      <c r="D11" s="106"/>
      <c r="E11" s="106"/>
      <c r="F11" s="107"/>
      <c r="G11" s="143" t="s">
        <v>18</v>
      </c>
      <c r="H11" s="107"/>
      <c r="I11" s="144">
        <f>G25</f>
        <v>9827.9500000000007</v>
      </c>
      <c r="J11" s="106"/>
      <c r="K11" s="106"/>
      <c r="L11" s="107"/>
    </row>
    <row r="12" spans="1:26" ht="14.25" customHeight="1">
      <c r="A12" s="143" t="s">
        <v>19</v>
      </c>
      <c r="B12" s="107"/>
      <c r="C12" s="147" t="s">
        <v>22</v>
      </c>
      <c r="D12" s="106"/>
      <c r="E12" s="106"/>
      <c r="F12" s="107"/>
      <c r="G12" s="143"/>
      <c r="H12" s="107"/>
      <c r="I12" s="148"/>
      <c r="J12" s="106"/>
      <c r="K12" s="106"/>
      <c r="L12" s="107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26" ht="22.5" customHeight="1">
      <c r="A14" s="3" t="s">
        <v>25</v>
      </c>
      <c r="B14" s="3"/>
      <c r="C14" s="4"/>
      <c r="D14" s="4"/>
      <c r="E14" s="4"/>
      <c r="F14" s="4"/>
      <c r="G14" s="4"/>
      <c r="H14" s="4"/>
      <c r="I14" s="4"/>
      <c r="J14" s="104"/>
      <c r="K14" s="104"/>
      <c r="L14" s="104"/>
    </row>
    <row r="15" spans="1:26" ht="30" customHeight="1">
      <c r="A15" s="145" t="s">
        <v>26</v>
      </c>
      <c r="B15" s="128"/>
      <c r="C15" s="128"/>
      <c r="D15" s="129"/>
      <c r="E15" s="5" t="s">
        <v>27</v>
      </c>
      <c r="F15" s="5" t="s">
        <v>28</v>
      </c>
      <c r="G15" s="5" t="s">
        <v>29</v>
      </c>
      <c r="H15" s="145" t="s">
        <v>12</v>
      </c>
      <c r="I15" s="129"/>
      <c r="J15" s="6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9" t="s">
        <v>33</v>
      </c>
      <c r="B16" s="10"/>
      <c r="C16" s="10"/>
      <c r="D16" s="13"/>
      <c r="E16" s="15">
        <v>6</v>
      </c>
      <c r="F16" s="15">
        <v>440</v>
      </c>
      <c r="G16" s="16">
        <f>F16*E16</f>
        <v>2640</v>
      </c>
      <c r="H16" s="146" t="s">
        <v>36</v>
      </c>
      <c r="I16" s="123"/>
      <c r="J16" s="6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>
      <c r="A17" s="9" t="s">
        <v>39</v>
      </c>
      <c r="B17" s="10"/>
      <c r="C17" s="10"/>
      <c r="D17" s="13"/>
      <c r="E17" s="15">
        <v>26</v>
      </c>
      <c r="F17" s="15">
        <v>125</v>
      </c>
      <c r="G17" s="27">
        <f t="shared" ref="G17:G18" si="0">E17*F17</f>
        <v>3250</v>
      </c>
      <c r="H17" s="146" t="s">
        <v>36</v>
      </c>
      <c r="I17" s="123"/>
      <c r="J17" s="18"/>
      <c r="K17" s="18"/>
      <c r="L17" s="18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>
      <c r="A18" s="9" t="s">
        <v>44</v>
      </c>
      <c r="B18" s="29"/>
      <c r="C18" s="29"/>
      <c r="D18" s="31"/>
      <c r="E18" s="15">
        <v>13</v>
      </c>
      <c r="F18" s="15">
        <v>48</v>
      </c>
      <c r="G18" s="27">
        <f t="shared" si="0"/>
        <v>624</v>
      </c>
      <c r="H18" s="146" t="s">
        <v>36</v>
      </c>
      <c r="I18" s="123"/>
      <c r="J18" s="18"/>
      <c r="K18" s="18"/>
      <c r="L18" s="1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>
      <c r="A19" s="9" t="s">
        <v>50</v>
      </c>
      <c r="B19" s="33"/>
      <c r="C19" s="33"/>
      <c r="D19" s="34"/>
      <c r="E19" s="15">
        <v>29</v>
      </c>
      <c r="F19" s="15">
        <v>85</v>
      </c>
      <c r="G19" s="27">
        <f>IF(OR(E19="",F19=""),"",E19*F19)</f>
        <v>2465</v>
      </c>
      <c r="H19" s="146" t="s">
        <v>36</v>
      </c>
      <c r="I19" s="123"/>
      <c r="J19" s="2"/>
      <c r="K19" s="2"/>
      <c r="L19" s="2"/>
    </row>
    <row r="20" spans="1:26" ht="14.25" customHeight="1">
      <c r="A20" s="36"/>
      <c r="B20" s="36"/>
      <c r="C20" s="36"/>
      <c r="D20" s="36"/>
      <c r="E20" s="37"/>
      <c r="F20" s="37"/>
      <c r="G20" s="39"/>
      <c r="H20" s="40"/>
      <c r="I20" s="40"/>
      <c r="J20" s="2"/>
      <c r="K20" s="2"/>
      <c r="L20" s="2"/>
    </row>
    <row r="21" spans="1:26" ht="14.25" customHeight="1">
      <c r="A21" s="41"/>
      <c r="B21" s="41"/>
      <c r="C21" s="41"/>
      <c r="D21" s="41"/>
      <c r="E21" s="41"/>
      <c r="F21" s="41"/>
      <c r="G21" s="43"/>
      <c r="H21" s="44"/>
      <c r="I21" s="45"/>
      <c r="J21" s="2"/>
      <c r="K21" s="2"/>
      <c r="L21" s="2"/>
    </row>
    <row r="22" spans="1:26" ht="14.25" customHeight="1">
      <c r="A22" s="111" t="s">
        <v>65</v>
      </c>
      <c r="B22" s="106"/>
      <c r="C22" s="106"/>
      <c r="D22" s="106"/>
      <c r="E22" s="106"/>
      <c r="F22" s="107"/>
      <c r="G22" s="30">
        <f>SUM(G16:G20)</f>
        <v>8979</v>
      </c>
      <c r="H22" s="48"/>
      <c r="I22" s="49"/>
      <c r="J22" s="2"/>
      <c r="K22" s="2"/>
      <c r="L22" s="2"/>
    </row>
    <row r="23" spans="1:26" ht="14.25" customHeight="1">
      <c r="A23" s="46"/>
      <c r="B23" s="46"/>
      <c r="C23" s="46"/>
      <c r="D23" s="46"/>
      <c r="E23" s="46"/>
      <c r="F23" s="46" t="s">
        <v>41</v>
      </c>
      <c r="G23" s="30">
        <f>G22*1.05</f>
        <v>9427.9500000000007</v>
      </c>
      <c r="H23" s="48"/>
      <c r="I23" s="49"/>
      <c r="J23" s="2"/>
      <c r="K23" s="2"/>
      <c r="L23" s="2"/>
    </row>
    <row r="24" spans="1:26" ht="14.25" customHeight="1">
      <c r="A24" s="111" t="s">
        <v>82</v>
      </c>
      <c r="B24" s="106"/>
      <c r="C24" s="106"/>
      <c r="D24" s="106"/>
      <c r="E24" s="106"/>
      <c r="F24" s="107"/>
      <c r="G24" s="30">
        <v>400</v>
      </c>
      <c r="H24" s="48"/>
      <c r="I24" s="49"/>
      <c r="J24" s="2"/>
      <c r="K24" s="2"/>
      <c r="L24" s="2"/>
    </row>
    <row r="25" spans="1:26" ht="14.25" customHeight="1">
      <c r="A25" s="112" t="s">
        <v>48</v>
      </c>
      <c r="B25" s="106"/>
      <c r="C25" s="106"/>
      <c r="D25" s="106"/>
      <c r="E25" s="106"/>
      <c r="F25" s="107"/>
      <c r="G25" s="53">
        <f>SUM(G23,G24)</f>
        <v>9827.9500000000007</v>
      </c>
      <c r="H25" s="48"/>
      <c r="I25" s="49"/>
      <c r="J25" s="2"/>
      <c r="K25" s="2"/>
      <c r="L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26" ht="22.5" customHeight="1">
      <c r="A27" s="113" t="s">
        <v>54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7"/>
      <c r="L27" s="1"/>
    </row>
    <row r="28" spans="1:26" ht="14.25" customHeight="1">
      <c r="A28" s="103" t="s">
        <v>56</v>
      </c>
      <c r="B28" s="104"/>
      <c r="C28" s="104"/>
      <c r="D28" s="54">
        <v>10</v>
      </c>
      <c r="E28" s="2" t="s">
        <v>58</v>
      </c>
      <c r="F28" s="103" t="s">
        <v>59</v>
      </c>
      <c r="G28" s="104"/>
      <c r="H28" s="104"/>
      <c r="I28" s="104"/>
      <c r="J28" s="103" t="s">
        <v>60</v>
      </c>
      <c r="K28" s="104"/>
      <c r="L28" s="104"/>
    </row>
    <row r="29" spans="1:26" ht="14.25" customHeight="1">
      <c r="A29" s="2"/>
      <c r="B29" s="2"/>
      <c r="C29" s="2"/>
      <c r="D29" s="2"/>
      <c r="E29" s="2"/>
      <c r="F29" s="103" t="s">
        <v>93</v>
      </c>
      <c r="G29" s="104"/>
      <c r="H29" s="104"/>
      <c r="I29" s="42"/>
      <c r="J29" s="109" t="s">
        <v>63</v>
      </c>
      <c r="K29" s="104"/>
      <c r="L29" s="104"/>
    </row>
    <row r="30" spans="1:26" ht="14.25" customHeight="1">
      <c r="A30" s="105" t="s">
        <v>64</v>
      </c>
      <c r="B30" s="106"/>
      <c r="C30" s="107"/>
      <c r="D30" s="103" t="s">
        <v>66</v>
      </c>
      <c r="E30" s="104"/>
      <c r="F30" s="108" t="s">
        <v>96</v>
      </c>
      <c r="G30" s="104"/>
      <c r="H30" s="104"/>
      <c r="I30" s="42"/>
      <c r="J30" s="103" t="s">
        <v>69</v>
      </c>
      <c r="K30" s="104"/>
      <c r="L30" s="104"/>
    </row>
    <row r="31" spans="1:26" ht="14.25" customHeight="1">
      <c r="A31" s="109" t="s">
        <v>70</v>
      </c>
      <c r="B31" s="104"/>
      <c r="C31" s="104"/>
      <c r="D31" s="103" t="s">
        <v>72</v>
      </c>
      <c r="E31" s="104"/>
      <c r="F31" s="110"/>
      <c r="G31" s="104"/>
      <c r="H31" s="104"/>
      <c r="I31" s="42"/>
      <c r="J31" s="105" t="s">
        <v>74</v>
      </c>
      <c r="K31" s="106"/>
      <c r="L31" s="107"/>
    </row>
    <row r="32" spans="1:26" ht="14.25" customHeight="1">
      <c r="A32" s="103" t="s">
        <v>75</v>
      </c>
      <c r="B32" s="104"/>
      <c r="C32" s="104"/>
      <c r="D32" s="103" t="s">
        <v>76</v>
      </c>
      <c r="E32" s="104"/>
      <c r="F32" s="103"/>
      <c r="G32" s="104"/>
      <c r="H32" s="104"/>
      <c r="I32" s="42"/>
      <c r="J32" s="103" t="s">
        <v>78</v>
      </c>
      <c r="K32" s="104"/>
      <c r="L32" s="104"/>
    </row>
    <row r="33" spans="1:12" ht="14.25" customHeight="1">
      <c r="A33" s="103" t="s">
        <v>79</v>
      </c>
      <c r="B33" s="104"/>
      <c r="C33" s="104"/>
      <c r="D33" s="2"/>
      <c r="E33" s="2"/>
      <c r="F33" s="114" t="s">
        <v>80</v>
      </c>
      <c r="G33" s="106"/>
      <c r="H33" s="106"/>
      <c r="I33" s="106"/>
      <c r="J33" s="106"/>
      <c r="K33" s="106"/>
      <c r="L33" s="107"/>
    </row>
    <row r="34" spans="1:12" ht="14.25" customHeight="1">
      <c r="A34" s="2"/>
      <c r="B34" s="2"/>
      <c r="C34" s="2"/>
      <c r="D34" s="2"/>
      <c r="E34" s="2"/>
      <c r="F34" s="115" t="s">
        <v>81</v>
      </c>
      <c r="G34" s="104"/>
      <c r="H34" s="104"/>
      <c r="I34" s="115" t="s">
        <v>83</v>
      </c>
      <c r="J34" s="104"/>
      <c r="K34" s="115"/>
      <c r="L34" s="104"/>
    </row>
    <row r="35" spans="1:12" ht="14.25" customHeight="1">
      <c r="A35" s="2"/>
      <c r="B35" s="2"/>
      <c r="C35" s="2"/>
      <c r="D35" s="2"/>
      <c r="E35" s="2"/>
      <c r="F35" s="116"/>
      <c r="G35" s="106"/>
      <c r="H35" s="107"/>
      <c r="I35" s="117"/>
      <c r="J35" s="107"/>
      <c r="K35" s="118"/>
      <c r="L35" s="107"/>
    </row>
    <row r="36" spans="1:12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2.5" customHeight="1">
      <c r="A37" s="35" t="s">
        <v>86</v>
      </c>
      <c r="B37" s="113" t="s">
        <v>87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7"/>
    </row>
    <row r="38" spans="1:12" ht="14.25" customHeight="1">
      <c r="A38" s="103" t="s">
        <v>88</v>
      </c>
      <c r="B38" s="104"/>
      <c r="C38" s="108" t="s">
        <v>115</v>
      </c>
      <c r="D38" s="104"/>
      <c r="E38" s="104"/>
      <c r="F38" s="119"/>
      <c r="G38" s="106"/>
      <c r="H38" s="106"/>
      <c r="I38" s="106"/>
      <c r="J38" s="106"/>
      <c r="K38" s="106"/>
      <c r="L38" s="107"/>
    </row>
    <row r="39" spans="1:12" ht="14.25" customHeight="1">
      <c r="A39" s="103" t="s">
        <v>91</v>
      </c>
      <c r="B39" s="104"/>
      <c r="C39" s="104"/>
      <c r="D39" s="152" t="s">
        <v>92</v>
      </c>
      <c r="E39" s="107"/>
      <c r="F39" s="119"/>
      <c r="G39" s="106"/>
      <c r="H39" s="106"/>
      <c r="I39" s="106"/>
      <c r="J39" s="106"/>
      <c r="K39" s="106"/>
      <c r="L39" s="107"/>
    </row>
    <row r="40" spans="1:12" ht="14.25" customHeight="1">
      <c r="A40" s="2"/>
      <c r="B40" s="2"/>
      <c r="C40" s="2"/>
      <c r="D40" s="2"/>
      <c r="E40" s="2"/>
      <c r="F40" s="119"/>
      <c r="G40" s="106"/>
      <c r="H40" s="106"/>
      <c r="I40" s="106"/>
      <c r="J40" s="106"/>
      <c r="K40" s="106"/>
      <c r="L40" s="107"/>
    </row>
    <row r="41" spans="1:12" ht="14.25" customHeight="1">
      <c r="A41" s="2"/>
      <c r="B41" s="2"/>
      <c r="C41" s="2"/>
      <c r="D41" s="2"/>
      <c r="E41" s="2"/>
      <c r="F41" s="119"/>
      <c r="G41" s="106"/>
      <c r="H41" s="106"/>
      <c r="I41" s="106"/>
      <c r="J41" s="106"/>
      <c r="K41" s="106"/>
      <c r="L41" s="107"/>
    </row>
    <row r="42" spans="1:1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2.5" customHeight="1">
      <c r="A43" s="35" t="s">
        <v>97</v>
      </c>
      <c r="B43" s="113" t="s">
        <v>98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7"/>
    </row>
    <row r="44" spans="1:12" ht="14.25" customHeight="1">
      <c r="A44" s="55" t="s">
        <v>100</v>
      </c>
      <c r="B44" s="120" t="s">
        <v>101</v>
      </c>
      <c r="C44" s="106"/>
      <c r="D44" s="106"/>
      <c r="E44" s="107"/>
      <c r="F44" s="120" t="s">
        <v>102</v>
      </c>
      <c r="G44" s="106"/>
      <c r="H44" s="107"/>
      <c r="I44" s="120" t="s">
        <v>103</v>
      </c>
      <c r="J44" s="107"/>
      <c r="K44" s="120"/>
      <c r="L44" s="107"/>
    </row>
    <row r="45" spans="1:12" ht="42.75" customHeight="1">
      <c r="A45" s="56" t="s">
        <v>104</v>
      </c>
      <c r="B45" s="121" t="s">
        <v>105</v>
      </c>
      <c r="C45" s="122"/>
      <c r="D45" s="122"/>
      <c r="E45" s="123"/>
      <c r="F45" s="124" t="s">
        <v>106</v>
      </c>
      <c r="G45" s="122"/>
      <c r="H45" s="123"/>
      <c r="I45" s="125"/>
      <c r="J45" s="123"/>
      <c r="K45" s="126"/>
      <c r="L45" s="123"/>
    </row>
    <row r="46" spans="1:12" ht="31.5" customHeight="1">
      <c r="A46" s="56" t="s">
        <v>108</v>
      </c>
      <c r="B46" s="121" t="s">
        <v>109</v>
      </c>
      <c r="C46" s="122"/>
      <c r="D46" s="122"/>
      <c r="E46" s="123"/>
      <c r="F46" s="124" t="s">
        <v>110</v>
      </c>
      <c r="G46" s="122"/>
      <c r="H46" s="123"/>
      <c r="I46" s="125"/>
      <c r="J46" s="123"/>
      <c r="K46" s="126"/>
      <c r="L46" s="123"/>
    </row>
    <row r="47" spans="1:12" ht="31.5" customHeight="1">
      <c r="A47" s="56" t="s">
        <v>111</v>
      </c>
      <c r="B47" s="121" t="s">
        <v>112</v>
      </c>
      <c r="C47" s="122"/>
      <c r="D47" s="122"/>
      <c r="E47" s="123"/>
      <c r="F47" s="124" t="s">
        <v>113</v>
      </c>
      <c r="G47" s="122"/>
      <c r="H47" s="123"/>
      <c r="I47" s="125"/>
      <c r="J47" s="123"/>
      <c r="K47" s="126"/>
      <c r="L47" s="123"/>
    </row>
    <row r="48" spans="1:12" ht="30" customHeight="1">
      <c r="A48" s="56" t="s">
        <v>114</v>
      </c>
      <c r="B48" s="121" t="s">
        <v>116</v>
      </c>
      <c r="C48" s="122"/>
      <c r="D48" s="122"/>
      <c r="E48" s="123"/>
      <c r="F48" s="124" t="s">
        <v>118</v>
      </c>
      <c r="G48" s="122"/>
      <c r="H48" s="123"/>
      <c r="I48" s="125"/>
      <c r="J48" s="123"/>
      <c r="K48" s="126"/>
      <c r="L48" s="123"/>
    </row>
    <row r="49" spans="1:12" ht="34.5" customHeight="1">
      <c r="A49" s="56" t="s">
        <v>53</v>
      </c>
      <c r="B49" s="121" t="s">
        <v>119</v>
      </c>
      <c r="C49" s="122"/>
      <c r="D49" s="122"/>
      <c r="E49" s="123"/>
      <c r="F49" s="124" t="s">
        <v>120</v>
      </c>
      <c r="G49" s="122"/>
      <c r="H49" s="123"/>
      <c r="I49" s="125"/>
      <c r="J49" s="123"/>
      <c r="K49" s="126"/>
      <c r="L49" s="123"/>
    </row>
    <row r="50" spans="1:12" ht="30" customHeight="1">
      <c r="A50" s="56" t="s">
        <v>121</v>
      </c>
      <c r="B50" s="121" t="s">
        <v>122</v>
      </c>
      <c r="C50" s="122"/>
      <c r="D50" s="122"/>
      <c r="E50" s="123"/>
      <c r="F50" s="124" t="s">
        <v>123</v>
      </c>
      <c r="G50" s="122"/>
      <c r="H50" s="123"/>
      <c r="I50" s="125"/>
      <c r="J50" s="123"/>
      <c r="K50" s="126"/>
      <c r="L50" s="123"/>
    </row>
    <row r="51" spans="1:12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58"/>
      <c r="L51" s="58"/>
    </row>
    <row r="52" spans="1:12" ht="22.5" customHeight="1">
      <c r="A52" s="35" t="s">
        <v>124</v>
      </c>
      <c r="B52" s="113" t="s">
        <v>125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7"/>
    </row>
    <row r="53" spans="1:12" ht="14.25" customHeight="1">
      <c r="A53" s="133" t="s">
        <v>126</v>
      </c>
      <c r="B53" s="104"/>
      <c r="C53" s="104"/>
      <c r="D53" s="104"/>
      <c r="E53" s="133" t="s">
        <v>127</v>
      </c>
      <c r="F53" s="104"/>
      <c r="G53" s="104"/>
      <c r="H53" s="104"/>
      <c r="I53" s="133" t="s">
        <v>128</v>
      </c>
      <c r="J53" s="104"/>
      <c r="K53" s="104"/>
      <c r="L53" s="104"/>
    </row>
    <row r="54" spans="1:12" ht="14.25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</row>
    <row r="55" spans="1:12" ht="14.25" customHeight="1">
      <c r="A55" s="103" t="s">
        <v>129</v>
      </c>
      <c r="B55" s="104"/>
      <c r="C55" s="104"/>
      <c r="D55" s="134"/>
      <c r="E55" s="128"/>
      <c r="F55" s="128"/>
      <c r="G55" s="128"/>
      <c r="H55" s="128"/>
      <c r="I55" s="128"/>
      <c r="J55" s="128"/>
      <c r="K55" s="128"/>
      <c r="L55" s="129"/>
    </row>
    <row r="56" spans="1:12" ht="14.25" customHeight="1">
      <c r="A56" s="2"/>
      <c r="B56" s="2"/>
      <c r="C56" s="2"/>
      <c r="D56" s="135"/>
      <c r="E56" s="104"/>
      <c r="F56" s="104"/>
      <c r="G56" s="104"/>
      <c r="H56" s="104"/>
      <c r="I56" s="104"/>
      <c r="J56" s="104"/>
      <c r="K56" s="104"/>
      <c r="L56" s="136"/>
    </row>
    <row r="57" spans="1:12" ht="14.25" customHeight="1">
      <c r="A57" s="2"/>
      <c r="B57" s="2"/>
      <c r="C57" s="2"/>
      <c r="D57" s="130"/>
      <c r="E57" s="131"/>
      <c r="F57" s="131"/>
      <c r="G57" s="131"/>
      <c r="H57" s="131"/>
      <c r="I57" s="131"/>
      <c r="J57" s="131"/>
      <c r="K57" s="131"/>
      <c r="L57" s="132"/>
    </row>
    <row r="58" spans="1:12" ht="14.25" customHeight="1"/>
    <row r="59" spans="1:12" ht="14.25" customHeight="1">
      <c r="A59" s="127" t="s">
        <v>130</v>
      </c>
      <c r="B59" s="128"/>
      <c r="C59" s="128"/>
      <c r="D59" s="129"/>
      <c r="E59" s="127" t="s">
        <v>131</v>
      </c>
      <c r="F59" s="128"/>
      <c r="G59" s="128"/>
      <c r="H59" s="129"/>
      <c r="I59" s="127" t="s">
        <v>132</v>
      </c>
      <c r="J59" s="128"/>
      <c r="K59" s="128"/>
      <c r="L59" s="129"/>
    </row>
    <row r="60" spans="1:12" ht="14.25" customHeight="1">
      <c r="A60" s="130"/>
      <c r="B60" s="131"/>
      <c r="C60" s="131"/>
      <c r="D60" s="132"/>
      <c r="E60" s="130"/>
      <c r="F60" s="131"/>
      <c r="G60" s="131"/>
      <c r="H60" s="132"/>
      <c r="I60" s="130"/>
      <c r="J60" s="131"/>
      <c r="K60" s="131"/>
      <c r="L60" s="132"/>
    </row>
    <row r="61" spans="1:12" ht="14.25" customHeight="1"/>
    <row r="62" spans="1:12" ht="14.25" customHeight="1"/>
    <row r="63" spans="1:12" ht="14.25" customHeight="1"/>
    <row r="64" spans="1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9">
    <mergeCell ref="A12:B12"/>
    <mergeCell ref="A15:D15"/>
    <mergeCell ref="A22:F22"/>
    <mergeCell ref="B37:L37"/>
    <mergeCell ref="A38:B38"/>
    <mergeCell ref="C38:E38"/>
    <mergeCell ref="F38:L38"/>
    <mergeCell ref="A39:C39"/>
    <mergeCell ref="D39:E39"/>
    <mergeCell ref="F39:L39"/>
    <mergeCell ref="C9:F9"/>
    <mergeCell ref="G9:H9"/>
    <mergeCell ref="I9:L9"/>
    <mergeCell ref="C10:F10"/>
    <mergeCell ref="G10:H10"/>
    <mergeCell ref="I10:L10"/>
    <mergeCell ref="C11:F11"/>
    <mergeCell ref="A1:C6"/>
    <mergeCell ref="A9:B9"/>
    <mergeCell ref="A10:B10"/>
    <mergeCell ref="A11:B11"/>
    <mergeCell ref="G11:H11"/>
    <mergeCell ref="I11:L11"/>
    <mergeCell ref="J14:L14"/>
    <mergeCell ref="H15:I15"/>
    <mergeCell ref="H16:I16"/>
    <mergeCell ref="H17:I17"/>
    <mergeCell ref="H18:I18"/>
    <mergeCell ref="H19:I19"/>
    <mergeCell ref="C12:F12"/>
    <mergeCell ref="G12:H12"/>
    <mergeCell ref="I12:L12"/>
    <mergeCell ref="J5:L5"/>
    <mergeCell ref="J6:L6"/>
    <mergeCell ref="D1:I4"/>
    <mergeCell ref="J1:L1"/>
    <mergeCell ref="J2:L2"/>
    <mergeCell ref="J3:L3"/>
    <mergeCell ref="J4:L4"/>
    <mergeCell ref="D5:I6"/>
    <mergeCell ref="A8:K8"/>
    <mergeCell ref="B49:E49"/>
    <mergeCell ref="F49:H49"/>
    <mergeCell ref="I49:J49"/>
    <mergeCell ref="K49:L49"/>
    <mergeCell ref="F50:H50"/>
    <mergeCell ref="I50:J50"/>
    <mergeCell ref="K50:L50"/>
    <mergeCell ref="A59:D60"/>
    <mergeCell ref="E59:H60"/>
    <mergeCell ref="I59:L60"/>
    <mergeCell ref="B50:E50"/>
    <mergeCell ref="B52:L52"/>
    <mergeCell ref="A53:D54"/>
    <mergeCell ref="E53:H54"/>
    <mergeCell ref="I53:L54"/>
    <mergeCell ref="A55:C55"/>
    <mergeCell ref="D55:L57"/>
    <mergeCell ref="B45:E45"/>
    <mergeCell ref="F45:H45"/>
    <mergeCell ref="I45:J45"/>
    <mergeCell ref="K45:L45"/>
    <mergeCell ref="F46:H46"/>
    <mergeCell ref="I46:J46"/>
    <mergeCell ref="K46:L46"/>
    <mergeCell ref="I48:J48"/>
    <mergeCell ref="K48:L48"/>
    <mergeCell ref="B46:E46"/>
    <mergeCell ref="B47:E47"/>
    <mergeCell ref="F47:H47"/>
    <mergeCell ref="I47:J47"/>
    <mergeCell ref="K47:L47"/>
    <mergeCell ref="B48:E48"/>
    <mergeCell ref="F48:H48"/>
    <mergeCell ref="F35:H35"/>
    <mergeCell ref="I35:J35"/>
    <mergeCell ref="K35:L35"/>
    <mergeCell ref="F40:L40"/>
    <mergeCell ref="F41:L41"/>
    <mergeCell ref="B43:L43"/>
    <mergeCell ref="B44:E44"/>
    <mergeCell ref="F44:H44"/>
    <mergeCell ref="I44:J44"/>
    <mergeCell ref="K44:L44"/>
    <mergeCell ref="A32:C32"/>
    <mergeCell ref="D32:E32"/>
    <mergeCell ref="J32:L32"/>
    <mergeCell ref="A33:C33"/>
    <mergeCell ref="F33:L33"/>
    <mergeCell ref="F32:H32"/>
    <mergeCell ref="F34:H34"/>
    <mergeCell ref="I34:J34"/>
    <mergeCell ref="K34:L34"/>
    <mergeCell ref="A28:C28"/>
    <mergeCell ref="A30:C30"/>
    <mergeCell ref="D30:E30"/>
    <mergeCell ref="F30:H30"/>
    <mergeCell ref="A31:C31"/>
    <mergeCell ref="D31:E31"/>
    <mergeCell ref="F31:H31"/>
    <mergeCell ref="A24:F24"/>
    <mergeCell ref="A25:F25"/>
    <mergeCell ref="A27:K27"/>
    <mergeCell ref="F28:I28"/>
    <mergeCell ref="J28:L28"/>
    <mergeCell ref="F29:H29"/>
    <mergeCell ref="J29:L29"/>
    <mergeCell ref="J30:L30"/>
    <mergeCell ref="J31:L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6"/>
  <sheetViews>
    <sheetView workbookViewId="0"/>
  </sheetViews>
  <sheetFormatPr defaultColWidth="12.59765625" defaultRowHeight="15" customHeight="1"/>
  <cols>
    <col min="1" max="1" width="23.19921875" customWidth="1"/>
    <col min="2" max="2" width="9.09765625" customWidth="1"/>
    <col min="3" max="3" width="7.3984375" customWidth="1"/>
    <col min="4" max="4" width="4.09765625" customWidth="1"/>
    <col min="6" max="6" width="9.3984375" customWidth="1"/>
    <col min="7" max="7" width="27.59765625" customWidth="1"/>
    <col min="8" max="8" width="10.09765625" customWidth="1"/>
    <col min="9" max="9" width="4.69921875" customWidth="1"/>
    <col min="10" max="10" width="12.69921875" customWidth="1"/>
    <col min="11" max="11" width="11.69921875" customWidth="1"/>
  </cols>
  <sheetData>
    <row r="1" spans="1:11">
      <c r="A1" s="151" t="s">
        <v>0</v>
      </c>
      <c r="B1" s="128"/>
      <c r="C1" s="129"/>
      <c r="D1" s="139" t="s">
        <v>1</v>
      </c>
      <c r="E1" s="128"/>
      <c r="F1" s="128"/>
      <c r="G1" s="128"/>
      <c r="H1" s="128"/>
      <c r="I1" s="129"/>
      <c r="J1" s="137"/>
      <c r="K1" s="107"/>
    </row>
    <row r="2" spans="1:11">
      <c r="A2" s="135"/>
      <c r="B2" s="104"/>
      <c r="C2" s="136"/>
      <c r="D2" s="135"/>
      <c r="E2" s="104"/>
      <c r="F2" s="104"/>
      <c r="G2" s="104"/>
      <c r="H2" s="104"/>
      <c r="I2" s="136"/>
      <c r="J2" s="140"/>
      <c r="K2" s="107"/>
    </row>
    <row r="3" spans="1:11">
      <c r="A3" s="135"/>
      <c r="B3" s="104"/>
      <c r="C3" s="136"/>
      <c r="D3" s="135"/>
      <c r="E3" s="104"/>
      <c r="F3" s="104"/>
      <c r="G3" s="104"/>
      <c r="H3" s="104"/>
      <c r="I3" s="136"/>
      <c r="J3" s="137" t="s">
        <v>2</v>
      </c>
      <c r="K3" s="107"/>
    </row>
    <row r="4" spans="1:11">
      <c r="A4" s="135"/>
      <c r="B4" s="104"/>
      <c r="C4" s="136"/>
      <c r="D4" s="130"/>
      <c r="E4" s="131"/>
      <c r="F4" s="131"/>
      <c r="G4" s="131"/>
      <c r="H4" s="131"/>
      <c r="I4" s="132"/>
      <c r="J4" s="141" t="s">
        <v>3</v>
      </c>
      <c r="K4" s="107"/>
    </row>
    <row r="5" spans="1:11">
      <c r="A5" s="135"/>
      <c r="B5" s="104"/>
      <c r="C5" s="136"/>
      <c r="D5" s="142" t="s">
        <v>4</v>
      </c>
      <c r="E5" s="128"/>
      <c r="F5" s="128"/>
      <c r="G5" s="128"/>
      <c r="H5" s="128"/>
      <c r="I5" s="129"/>
      <c r="J5" s="137" t="s">
        <v>5</v>
      </c>
      <c r="K5" s="107"/>
    </row>
    <row r="6" spans="1:11">
      <c r="A6" s="130"/>
      <c r="B6" s="131"/>
      <c r="C6" s="132"/>
      <c r="D6" s="130"/>
      <c r="E6" s="131"/>
      <c r="F6" s="131"/>
      <c r="G6" s="131"/>
      <c r="H6" s="131"/>
      <c r="I6" s="132"/>
      <c r="J6" s="138" t="s">
        <v>6</v>
      </c>
      <c r="K6" s="107"/>
    </row>
    <row r="8" spans="1:11">
      <c r="A8" s="113" t="s">
        <v>7</v>
      </c>
      <c r="B8" s="106"/>
      <c r="C8" s="106"/>
      <c r="D8" s="106"/>
      <c r="E8" s="106"/>
      <c r="F8" s="106"/>
      <c r="G8" s="106"/>
      <c r="H8" s="106"/>
      <c r="I8" s="106"/>
      <c r="J8" s="106"/>
      <c r="K8" s="107"/>
    </row>
    <row r="9" spans="1:11">
      <c r="A9" s="143" t="s">
        <v>8</v>
      </c>
      <c r="B9" s="107"/>
      <c r="C9" s="149" t="s">
        <v>9</v>
      </c>
      <c r="D9" s="106"/>
      <c r="E9" s="106"/>
      <c r="F9" s="107"/>
      <c r="G9" s="143" t="s">
        <v>10</v>
      </c>
      <c r="H9" s="107"/>
      <c r="I9" s="158">
        <v>46249</v>
      </c>
      <c r="J9" s="106"/>
      <c r="K9" s="107"/>
    </row>
    <row r="10" spans="1:11">
      <c r="A10" s="143" t="s">
        <v>12</v>
      </c>
      <c r="B10" s="107"/>
      <c r="C10" s="147"/>
      <c r="D10" s="106"/>
      <c r="E10" s="106"/>
      <c r="F10" s="107"/>
      <c r="G10" s="143"/>
      <c r="H10" s="107"/>
      <c r="I10" s="150"/>
      <c r="J10" s="106"/>
      <c r="K10" s="107"/>
    </row>
    <row r="11" spans="1:11">
      <c r="A11" s="143" t="s">
        <v>17</v>
      </c>
      <c r="B11" s="107"/>
      <c r="C11" s="147"/>
      <c r="D11" s="106"/>
      <c r="E11" s="106"/>
      <c r="F11" s="107"/>
      <c r="G11" s="143" t="s">
        <v>18</v>
      </c>
      <c r="H11" s="107"/>
      <c r="I11" s="155">
        <f>G21</f>
        <v>2500</v>
      </c>
      <c r="J11" s="106"/>
      <c r="K11" s="107"/>
    </row>
    <row r="12" spans="1:11">
      <c r="A12" s="143" t="s">
        <v>19</v>
      </c>
      <c r="B12" s="107"/>
      <c r="C12" s="147" t="s">
        <v>21</v>
      </c>
      <c r="D12" s="106"/>
      <c r="E12" s="106"/>
      <c r="F12" s="107"/>
      <c r="G12" s="143" t="s">
        <v>23</v>
      </c>
      <c r="H12" s="107"/>
      <c r="I12" s="148" t="s">
        <v>24</v>
      </c>
      <c r="J12" s="106"/>
      <c r="K12" s="107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3" t="s">
        <v>25</v>
      </c>
      <c r="B14" s="3"/>
      <c r="J14" s="104"/>
      <c r="K14" s="104"/>
    </row>
    <row r="15" spans="1:11">
      <c r="A15" s="156" t="s">
        <v>26</v>
      </c>
      <c r="B15" s="106"/>
      <c r="C15" s="106"/>
      <c r="D15" s="107"/>
      <c r="E15" s="5" t="s">
        <v>27</v>
      </c>
      <c r="F15" s="5" t="s">
        <v>28</v>
      </c>
      <c r="G15" s="5" t="s">
        <v>29</v>
      </c>
      <c r="H15" s="156" t="s">
        <v>12</v>
      </c>
      <c r="I15" s="107"/>
      <c r="J15" s="6"/>
      <c r="K15" s="6"/>
    </row>
    <row r="16" spans="1:11" ht="15" customHeight="1">
      <c r="A16" s="159" t="s">
        <v>31</v>
      </c>
      <c r="B16" s="122"/>
      <c r="C16" s="122"/>
      <c r="D16" s="123"/>
      <c r="E16" s="11">
        <v>1</v>
      </c>
      <c r="F16" s="14">
        <v>1000</v>
      </c>
      <c r="G16" s="17">
        <f>F16*E16</f>
        <v>1000</v>
      </c>
      <c r="H16" s="157" t="s">
        <v>16</v>
      </c>
      <c r="I16" s="107"/>
      <c r="J16" s="6"/>
      <c r="K16" s="6"/>
    </row>
    <row r="17" spans="1:11" ht="15" customHeight="1">
      <c r="A17" s="21" t="s">
        <v>38</v>
      </c>
      <c r="B17" s="21"/>
      <c r="C17" s="21"/>
      <c r="D17" s="21"/>
      <c r="E17" s="22"/>
      <c r="F17" s="24">
        <v>1500</v>
      </c>
      <c r="G17" s="25">
        <v>1500</v>
      </c>
      <c r="H17" s="26" t="s">
        <v>42</v>
      </c>
      <c r="I17" s="28"/>
      <c r="J17" s="6"/>
      <c r="K17" s="6"/>
    </row>
    <row r="18" spans="1:11">
      <c r="A18" s="20"/>
      <c r="B18" s="20"/>
      <c r="C18" s="20"/>
      <c r="D18" s="20"/>
      <c r="E18" s="20"/>
      <c r="F18" s="20"/>
      <c r="G18" s="23"/>
      <c r="H18" s="23"/>
      <c r="I18" s="2"/>
      <c r="J18" s="2"/>
      <c r="K18" s="2"/>
    </row>
    <row r="19" spans="1:11" ht="15" customHeight="1">
      <c r="A19" s="111" t="s">
        <v>41</v>
      </c>
      <c r="B19" s="106"/>
      <c r="C19" s="106"/>
      <c r="D19" s="106"/>
      <c r="E19" s="106"/>
      <c r="F19" s="107"/>
      <c r="G19" s="30"/>
      <c r="H19" s="23"/>
      <c r="I19" s="2"/>
      <c r="J19" s="2"/>
      <c r="K19" s="2"/>
    </row>
    <row r="20" spans="1:11" ht="15" customHeight="1">
      <c r="A20" s="111" t="s">
        <v>46</v>
      </c>
      <c r="B20" s="106"/>
      <c r="C20" s="106"/>
      <c r="D20" s="106"/>
      <c r="E20" s="106"/>
      <c r="F20" s="107"/>
      <c r="G20" s="32"/>
      <c r="H20" s="23"/>
      <c r="I20" s="2"/>
      <c r="J20" s="2"/>
      <c r="K20" s="2"/>
    </row>
    <row r="21" spans="1:11" ht="15" customHeight="1">
      <c r="A21" s="111" t="s">
        <v>48</v>
      </c>
      <c r="B21" s="106"/>
      <c r="C21" s="106"/>
      <c r="D21" s="106"/>
      <c r="E21" s="106"/>
      <c r="F21" s="107"/>
      <c r="G21" s="30">
        <v>2500</v>
      </c>
      <c r="H21" s="23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35" t="s">
        <v>53</v>
      </c>
      <c r="B23" s="113" t="s">
        <v>54</v>
      </c>
      <c r="C23" s="106"/>
      <c r="D23" s="106"/>
      <c r="E23" s="106"/>
      <c r="F23" s="106"/>
      <c r="G23" s="106"/>
      <c r="H23" s="106"/>
      <c r="I23" s="106"/>
      <c r="J23" s="106"/>
      <c r="K23" s="107"/>
    </row>
    <row r="24" spans="1:11">
      <c r="A24" s="103" t="s">
        <v>56</v>
      </c>
      <c r="B24" s="104"/>
      <c r="C24" s="104"/>
      <c r="D24" s="38">
        <v>5</v>
      </c>
      <c r="E24" s="2" t="s">
        <v>58</v>
      </c>
      <c r="F24" s="103" t="s">
        <v>59</v>
      </c>
      <c r="G24" s="104"/>
      <c r="H24" s="104"/>
      <c r="I24" s="104"/>
      <c r="J24" s="103" t="s">
        <v>60</v>
      </c>
      <c r="K24" s="104"/>
    </row>
    <row r="25" spans="1:11">
      <c r="A25" s="2"/>
      <c r="B25" s="2"/>
      <c r="C25" s="2"/>
      <c r="D25" s="2"/>
      <c r="E25" s="2"/>
      <c r="F25" s="103" t="s">
        <v>61</v>
      </c>
      <c r="G25" s="104"/>
      <c r="H25" s="104"/>
      <c r="I25" s="42"/>
      <c r="J25" s="109" t="s">
        <v>63</v>
      </c>
      <c r="K25" s="104"/>
    </row>
    <row r="26" spans="1:11">
      <c r="A26" s="105" t="s">
        <v>64</v>
      </c>
      <c r="B26" s="106"/>
      <c r="C26" s="107"/>
      <c r="D26" s="103" t="s">
        <v>66</v>
      </c>
      <c r="E26" s="104"/>
      <c r="F26" s="108" t="s">
        <v>67</v>
      </c>
      <c r="G26" s="104"/>
      <c r="H26" s="104"/>
      <c r="I26" s="42"/>
      <c r="J26" s="103" t="s">
        <v>69</v>
      </c>
      <c r="K26" s="104"/>
    </row>
    <row r="27" spans="1:11">
      <c r="A27" s="109" t="s">
        <v>70</v>
      </c>
      <c r="B27" s="104"/>
      <c r="C27" s="104"/>
      <c r="D27" s="103" t="s">
        <v>72</v>
      </c>
      <c r="E27" s="104"/>
      <c r="F27" s="110" t="s">
        <v>73</v>
      </c>
      <c r="G27" s="104"/>
      <c r="H27" s="104"/>
      <c r="I27" s="42"/>
      <c r="J27" s="105" t="s">
        <v>74</v>
      </c>
      <c r="K27" s="107"/>
    </row>
    <row r="28" spans="1:11" ht="13.8">
      <c r="A28" s="103" t="s">
        <v>75</v>
      </c>
      <c r="B28" s="104"/>
      <c r="C28" s="104"/>
      <c r="D28" s="103" t="s">
        <v>76</v>
      </c>
      <c r="E28" s="104"/>
      <c r="F28" s="103" t="s">
        <v>77</v>
      </c>
      <c r="G28" s="104"/>
      <c r="H28" s="104"/>
      <c r="I28" s="42"/>
      <c r="J28" s="103" t="s">
        <v>78</v>
      </c>
      <c r="K28" s="104"/>
    </row>
    <row r="29" spans="1:11" ht="13.8">
      <c r="A29" s="103" t="s">
        <v>79</v>
      </c>
      <c r="B29" s="104"/>
      <c r="C29" s="104"/>
      <c r="D29" s="2"/>
      <c r="E29" s="2"/>
      <c r="F29" s="114" t="s">
        <v>80</v>
      </c>
      <c r="G29" s="106"/>
      <c r="H29" s="106"/>
      <c r="I29" s="106"/>
      <c r="J29" s="106"/>
      <c r="K29" s="107"/>
    </row>
    <row r="30" spans="1:11" ht="13.8">
      <c r="A30" s="2"/>
      <c r="B30" s="2"/>
      <c r="C30" s="2"/>
      <c r="D30" s="2"/>
      <c r="E30" s="2"/>
      <c r="F30" s="115" t="s">
        <v>81</v>
      </c>
      <c r="G30" s="104"/>
      <c r="H30" s="104"/>
      <c r="I30" s="115" t="s">
        <v>83</v>
      </c>
      <c r="J30" s="104"/>
      <c r="K30" s="50"/>
    </row>
    <row r="31" spans="1:11" ht="16.8">
      <c r="A31" s="2"/>
      <c r="B31" s="2"/>
      <c r="C31" s="2"/>
      <c r="D31" s="2"/>
      <c r="E31" s="2"/>
      <c r="F31" s="153"/>
      <c r="G31" s="106"/>
      <c r="H31" s="107"/>
      <c r="I31" s="154"/>
      <c r="J31" s="107"/>
      <c r="K31" s="51"/>
    </row>
    <row r="32" spans="1:11" ht="13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6">
      <c r="A33" s="35" t="s">
        <v>86</v>
      </c>
      <c r="B33" s="113" t="s">
        <v>87</v>
      </c>
      <c r="C33" s="106"/>
      <c r="D33" s="106"/>
      <c r="E33" s="106"/>
      <c r="F33" s="106"/>
      <c r="G33" s="106"/>
      <c r="H33" s="106"/>
      <c r="I33" s="106"/>
      <c r="J33" s="106"/>
      <c r="K33" s="107"/>
    </row>
    <row r="34" spans="1:11" ht="13.8">
      <c r="A34" s="103" t="s">
        <v>88</v>
      </c>
      <c r="B34" s="104"/>
      <c r="C34" s="108" t="s">
        <v>89</v>
      </c>
      <c r="D34" s="104"/>
      <c r="E34" s="104"/>
      <c r="F34" s="119"/>
      <c r="G34" s="106"/>
      <c r="H34" s="106"/>
      <c r="I34" s="106"/>
      <c r="J34" s="106"/>
      <c r="K34" s="107"/>
    </row>
    <row r="35" spans="1:11" ht="13.8">
      <c r="A35" s="103" t="s">
        <v>91</v>
      </c>
      <c r="B35" s="104"/>
      <c r="C35" s="104"/>
      <c r="D35" s="152" t="s">
        <v>92</v>
      </c>
      <c r="E35" s="107"/>
      <c r="F35" s="119"/>
      <c r="G35" s="106"/>
      <c r="H35" s="106"/>
      <c r="I35" s="106"/>
      <c r="J35" s="106"/>
      <c r="K35" s="107"/>
    </row>
    <row r="36" spans="1:11" ht="13.8">
      <c r="A36" s="2"/>
      <c r="B36" s="2"/>
      <c r="C36" s="2"/>
      <c r="D36" s="2"/>
      <c r="E36" s="2"/>
      <c r="F36" s="119"/>
      <c r="G36" s="106"/>
      <c r="H36" s="106"/>
      <c r="I36" s="106"/>
      <c r="J36" s="106"/>
      <c r="K36" s="107"/>
    </row>
    <row r="37" spans="1:11" ht="13.8">
      <c r="A37" s="2"/>
      <c r="B37" s="2"/>
      <c r="C37" s="2"/>
      <c r="D37" s="2"/>
      <c r="E37" s="2"/>
      <c r="F37" s="119"/>
      <c r="G37" s="106"/>
      <c r="H37" s="106"/>
      <c r="I37" s="106"/>
      <c r="J37" s="106"/>
      <c r="K37" s="107"/>
    </row>
    <row r="38" spans="1:11" ht="13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6">
      <c r="A39" s="35" t="s">
        <v>97</v>
      </c>
      <c r="B39" s="113" t="s">
        <v>98</v>
      </c>
      <c r="C39" s="106"/>
      <c r="D39" s="106"/>
      <c r="E39" s="106"/>
      <c r="F39" s="106"/>
      <c r="G39" s="106"/>
      <c r="H39" s="106"/>
      <c r="I39" s="106"/>
      <c r="J39" s="106"/>
      <c r="K39" s="107"/>
    </row>
    <row r="40" spans="1:11" ht="13.8">
      <c r="A40" s="55" t="s">
        <v>100</v>
      </c>
      <c r="B40" s="120" t="s">
        <v>101</v>
      </c>
      <c r="C40" s="106"/>
      <c r="D40" s="106"/>
      <c r="E40" s="107"/>
      <c r="F40" s="120" t="s">
        <v>102</v>
      </c>
      <c r="G40" s="106"/>
      <c r="H40" s="107"/>
      <c r="I40" s="120" t="s">
        <v>103</v>
      </c>
      <c r="J40" s="107"/>
      <c r="K40" s="55"/>
    </row>
    <row r="41" spans="1:11" ht="13.8">
      <c r="A41" s="56" t="s">
        <v>104</v>
      </c>
      <c r="B41" s="121" t="s">
        <v>105</v>
      </c>
      <c r="C41" s="122"/>
      <c r="D41" s="122"/>
      <c r="E41" s="123"/>
      <c r="F41" s="124" t="s">
        <v>106</v>
      </c>
      <c r="G41" s="122"/>
      <c r="H41" s="123"/>
      <c r="I41" s="125"/>
      <c r="J41" s="123"/>
      <c r="K41" s="57"/>
    </row>
    <row r="42" spans="1:11" ht="13.8">
      <c r="A42" s="56" t="s">
        <v>108</v>
      </c>
      <c r="B42" s="121" t="s">
        <v>109</v>
      </c>
      <c r="C42" s="122"/>
      <c r="D42" s="122"/>
      <c r="E42" s="123"/>
      <c r="F42" s="124" t="s">
        <v>110</v>
      </c>
      <c r="G42" s="122"/>
      <c r="H42" s="123"/>
      <c r="I42" s="125"/>
      <c r="J42" s="123"/>
      <c r="K42" s="57"/>
    </row>
    <row r="43" spans="1:11" ht="13.8">
      <c r="A43" s="56" t="s">
        <v>111</v>
      </c>
      <c r="B43" s="121" t="s">
        <v>112</v>
      </c>
      <c r="C43" s="122"/>
      <c r="D43" s="122"/>
      <c r="E43" s="123"/>
      <c r="F43" s="124" t="s">
        <v>113</v>
      </c>
      <c r="G43" s="122"/>
      <c r="H43" s="123"/>
      <c r="I43" s="125"/>
      <c r="J43" s="123"/>
      <c r="K43" s="57"/>
    </row>
    <row r="44" spans="1:11" ht="13.8">
      <c r="A44" s="56" t="s">
        <v>114</v>
      </c>
      <c r="B44" s="121" t="s">
        <v>116</v>
      </c>
      <c r="C44" s="122"/>
      <c r="D44" s="122"/>
      <c r="E44" s="123"/>
      <c r="F44" s="124" t="s">
        <v>118</v>
      </c>
      <c r="G44" s="122"/>
      <c r="H44" s="123"/>
      <c r="I44" s="125"/>
      <c r="J44" s="123"/>
      <c r="K44" s="57"/>
    </row>
    <row r="45" spans="1:11" ht="13.8">
      <c r="A45" s="56" t="s">
        <v>53</v>
      </c>
      <c r="B45" s="121" t="s">
        <v>119</v>
      </c>
      <c r="C45" s="122"/>
      <c r="D45" s="122"/>
      <c r="E45" s="123"/>
      <c r="F45" s="124" t="s">
        <v>120</v>
      </c>
      <c r="G45" s="122"/>
      <c r="H45" s="123"/>
      <c r="I45" s="125"/>
      <c r="J45" s="123"/>
      <c r="K45" s="57"/>
    </row>
    <row r="46" spans="1:11" ht="13.8">
      <c r="A46" s="56" t="s">
        <v>121</v>
      </c>
      <c r="B46" s="121" t="s">
        <v>122</v>
      </c>
      <c r="C46" s="122"/>
      <c r="D46" s="122"/>
      <c r="E46" s="123"/>
      <c r="F46" s="124" t="s">
        <v>123</v>
      </c>
      <c r="G46" s="122"/>
      <c r="H46" s="123"/>
      <c r="I46" s="125"/>
      <c r="J46" s="123"/>
      <c r="K46" s="57"/>
    </row>
    <row r="47" spans="1:11" ht="13.8">
      <c r="A47" s="2"/>
      <c r="B47" s="2"/>
      <c r="C47" s="2"/>
      <c r="D47" s="2"/>
      <c r="E47" s="2"/>
      <c r="F47" s="2"/>
      <c r="G47" s="2"/>
      <c r="H47" s="2"/>
      <c r="I47" s="2"/>
      <c r="J47" s="2"/>
      <c r="K47" s="58"/>
    </row>
    <row r="48" spans="1:11" ht="15.6">
      <c r="A48" s="35" t="s">
        <v>124</v>
      </c>
      <c r="B48" s="113" t="s">
        <v>125</v>
      </c>
      <c r="C48" s="106"/>
      <c r="D48" s="106"/>
      <c r="E48" s="106"/>
      <c r="F48" s="106"/>
      <c r="G48" s="106"/>
      <c r="H48" s="106"/>
      <c r="I48" s="106"/>
      <c r="J48" s="106"/>
      <c r="K48" s="107"/>
    </row>
    <row r="49" spans="1:11" ht="13.8">
      <c r="A49" s="133" t="s">
        <v>126</v>
      </c>
      <c r="B49" s="104"/>
      <c r="C49" s="104"/>
      <c r="D49" s="104"/>
      <c r="E49" s="133" t="s">
        <v>127</v>
      </c>
      <c r="F49" s="104"/>
      <c r="G49" s="104"/>
      <c r="H49" s="104"/>
      <c r="I49" s="133" t="s">
        <v>128</v>
      </c>
      <c r="J49" s="104"/>
      <c r="K49" s="104"/>
    </row>
    <row r="50" spans="1:11" ht="15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</row>
    <row r="51" spans="1:11" ht="13.8">
      <c r="A51" s="103" t="s">
        <v>129</v>
      </c>
      <c r="B51" s="104"/>
      <c r="C51" s="104"/>
      <c r="D51" s="134"/>
      <c r="E51" s="128"/>
      <c r="F51" s="128"/>
      <c r="G51" s="128"/>
      <c r="H51" s="128"/>
      <c r="I51" s="128"/>
      <c r="J51" s="128"/>
      <c r="K51" s="129"/>
    </row>
    <row r="52" spans="1:11" ht="13.8">
      <c r="A52" s="2"/>
      <c r="B52" s="2"/>
      <c r="C52" s="2"/>
      <c r="D52" s="135"/>
      <c r="E52" s="104"/>
      <c r="F52" s="104"/>
      <c r="G52" s="104"/>
      <c r="H52" s="104"/>
      <c r="I52" s="104"/>
      <c r="J52" s="104"/>
      <c r="K52" s="136"/>
    </row>
    <row r="53" spans="1:11" ht="13.8">
      <c r="A53" s="2"/>
      <c r="B53" s="2"/>
      <c r="C53" s="2"/>
      <c r="D53" s="130"/>
      <c r="E53" s="131"/>
      <c r="F53" s="131"/>
      <c r="G53" s="131"/>
      <c r="H53" s="131"/>
      <c r="I53" s="131"/>
      <c r="J53" s="131"/>
      <c r="K53" s="132"/>
    </row>
    <row r="55" spans="1:11" ht="13.8">
      <c r="A55" s="127" t="s">
        <v>130</v>
      </c>
      <c r="B55" s="128"/>
      <c r="C55" s="128"/>
      <c r="D55" s="129"/>
      <c r="E55" s="127" t="s">
        <v>131</v>
      </c>
      <c r="F55" s="128"/>
      <c r="G55" s="128"/>
      <c r="H55" s="129"/>
      <c r="I55" s="127" t="s">
        <v>132</v>
      </c>
      <c r="J55" s="128"/>
      <c r="K55" s="129"/>
    </row>
    <row r="56" spans="1:11" ht="13.8">
      <c r="A56" s="130"/>
      <c r="B56" s="131"/>
      <c r="C56" s="131"/>
      <c r="D56" s="132"/>
      <c r="E56" s="130"/>
      <c r="F56" s="131"/>
      <c r="G56" s="131"/>
      <c r="H56" s="132"/>
      <c r="I56" s="130"/>
      <c r="J56" s="131"/>
      <c r="K56" s="132"/>
    </row>
  </sheetData>
  <mergeCells count="98">
    <mergeCell ref="F36:K36"/>
    <mergeCell ref="F37:K37"/>
    <mergeCell ref="B39:K39"/>
    <mergeCell ref="B40:E40"/>
    <mergeCell ref="F40:H40"/>
    <mergeCell ref="I40:J40"/>
    <mergeCell ref="A1:C6"/>
    <mergeCell ref="A9:B9"/>
    <mergeCell ref="A10:B10"/>
    <mergeCell ref="A11:B11"/>
    <mergeCell ref="A12:B12"/>
    <mergeCell ref="H16:I16"/>
    <mergeCell ref="C12:F12"/>
    <mergeCell ref="G12:H12"/>
    <mergeCell ref="I12:K12"/>
    <mergeCell ref="C9:F9"/>
    <mergeCell ref="G9:H9"/>
    <mergeCell ref="I9:K9"/>
    <mergeCell ref="C10:F10"/>
    <mergeCell ref="G10:H10"/>
    <mergeCell ref="I10:K10"/>
    <mergeCell ref="C11:F11"/>
    <mergeCell ref="A15:D15"/>
    <mergeCell ref="A16:D16"/>
    <mergeCell ref="A8:K8"/>
    <mergeCell ref="G11:H11"/>
    <mergeCell ref="I11:K11"/>
    <mergeCell ref="J14:K14"/>
    <mergeCell ref="H15:I15"/>
    <mergeCell ref="J5:K5"/>
    <mergeCell ref="J6:K6"/>
    <mergeCell ref="D1:I4"/>
    <mergeCell ref="J1:K1"/>
    <mergeCell ref="J2:K2"/>
    <mergeCell ref="J3:K3"/>
    <mergeCell ref="J4:K4"/>
    <mergeCell ref="D5:I6"/>
    <mergeCell ref="B48:K48"/>
    <mergeCell ref="E55:H56"/>
    <mergeCell ref="I55:K56"/>
    <mergeCell ref="B46:E46"/>
    <mergeCell ref="A49:D50"/>
    <mergeCell ref="E49:H50"/>
    <mergeCell ref="I49:K50"/>
    <mergeCell ref="A51:C51"/>
    <mergeCell ref="D51:K53"/>
    <mergeCell ref="A55:D56"/>
    <mergeCell ref="F46:H46"/>
    <mergeCell ref="I46:J46"/>
    <mergeCell ref="B44:E44"/>
    <mergeCell ref="F44:H44"/>
    <mergeCell ref="I44:J44"/>
    <mergeCell ref="B45:E45"/>
    <mergeCell ref="F45:H45"/>
    <mergeCell ref="I45:J45"/>
    <mergeCell ref="F43:H43"/>
    <mergeCell ref="I43:J43"/>
    <mergeCell ref="B41:E41"/>
    <mergeCell ref="F41:H41"/>
    <mergeCell ref="I41:J41"/>
    <mergeCell ref="B42:E42"/>
    <mergeCell ref="F42:H42"/>
    <mergeCell ref="I42:J42"/>
    <mergeCell ref="B43:E43"/>
    <mergeCell ref="A34:B34"/>
    <mergeCell ref="A35:C35"/>
    <mergeCell ref="D35:E35"/>
    <mergeCell ref="F30:H30"/>
    <mergeCell ref="I30:J30"/>
    <mergeCell ref="F31:H31"/>
    <mergeCell ref="I31:J31"/>
    <mergeCell ref="B33:K33"/>
    <mergeCell ref="C34:E34"/>
    <mergeCell ref="F34:K34"/>
    <mergeCell ref="F35:K35"/>
    <mergeCell ref="A28:C28"/>
    <mergeCell ref="D28:E28"/>
    <mergeCell ref="F28:H28"/>
    <mergeCell ref="J28:K28"/>
    <mergeCell ref="A29:C29"/>
    <mergeCell ref="F29:K29"/>
    <mergeCell ref="A26:C26"/>
    <mergeCell ref="D26:E26"/>
    <mergeCell ref="F26:H26"/>
    <mergeCell ref="J26:K26"/>
    <mergeCell ref="D27:E27"/>
    <mergeCell ref="F27:H27"/>
    <mergeCell ref="J27:K27"/>
    <mergeCell ref="A27:C27"/>
    <mergeCell ref="J24:K24"/>
    <mergeCell ref="J25:K25"/>
    <mergeCell ref="A19:F19"/>
    <mergeCell ref="A20:F20"/>
    <mergeCell ref="A21:F21"/>
    <mergeCell ref="B23:K23"/>
    <mergeCell ref="A24:C24"/>
    <mergeCell ref="F24:I24"/>
    <mergeCell ref="F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5"/>
  <sheetViews>
    <sheetView workbookViewId="0"/>
  </sheetViews>
  <sheetFormatPr defaultColWidth="12.59765625" defaultRowHeight="15" customHeight="1"/>
  <cols>
    <col min="2" max="2" width="9.09765625" customWidth="1"/>
    <col min="3" max="3" width="7.3984375" customWidth="1"/>
    <col min="4" max="4" width="4.09765625" customWidth="1"/>
    <col min="6" max="6" width="9.3984375" customWidth="1"/>
    <col min="7" max="7" width="20.09765625" customWidth="1"/>
    <col min="8" max="8" width="10.09765625" customWidth="1"/>
    <col min="9" max="9" width="4.69921875" customWidth="1"/>
    <col min="10" max="10" width="12.69921875" customWidth="1"/>
    <col min="11" max="11" width="11.69921875" customWidth="1"/>
  </cols>
  <sheetData>
    <row r="1" spans="1:11">
      <c r="A1" s="151" t="s">
        <v>0</v>
      </c>
      <c r="B1" s="128"/>
      <c r="C1" s="129"/>
      <c r="D1" s="139" t="s">
        <v>1</v>
      </c>
      <c r="E1" s="128"/>
      <c r="F1" s="128"/>
      <c r="G1" s="128"/>
      <c r="H1" s="128"/>
      <c r="I1" s="129"/>
      <c r="J1" s="137"/>
      <c r="K1" s="107"/>
    </row>
    <row r="2" spans="1:11">
      <c r="A2" s="135"/>
      <c r="B2" s="104"/>
      <c r="C2" s="136"/>
      <c r="D2" s="135"/>
      <c r="E2" s="104"/>
      <c r="F2" s="104"/>
      <c r="G2" s="104"/>
      <c r="H2" s="104"/>
      <c r="I2" s="136"/>
      <c r="J2" s="140"/>
      <c r="K2" s="107"/>
    </row>
    <row r="3" spans="1:11">
      <c r="A3" s="135"/>
      <c r="B3" s="104"/>
      <c r="C3" s="136"/>
      <c r="D3" s="135"/>
      <c r="E3" s="104"/>
      <c r="F3" s="104"/>
      <c r="G3" s="104"/>
      <c r="H3" s="104"/>
      <c r="I3" s="136"/>
      <c r="J3" s="137" t="s">
        <v>2</v>
      </c>
      <c r="K3" s="107"/>
    </row>
    <row r="4" spans="1:11">
      <c r="A4" s="135"/>
      <c r="B4" s="104"/>
      <c r="C4" s="136"/>
      <c r="D4" s="130"/>
      <c r="E4" s="131"/>
      <c r="F4" s="131"/>
      <c r="G4" s="131"/>
      <c r="H4" s="131"/>
      <c r="I4" s="132"/>
      <c r="J4" s="141" t="s">
        <v>3</v>
      </c>
      <c r="K4" s="107"/>
    </row>
    <row r="5" spans="1:11">
      <c r="A5" s="135"/>
      <c r="B5" s="104"/>
      <c r="C5" s="136"/>
      <c r="D5" s="142" t="s">
        <v>4</v>
      </c>
      <c r="E5" s="128"/>
      <c r="F5" s="128"/>
      <c r="G5" s="128"/>
      <c r="H5" s="128"/>
      <c r="I5" s="129"/>
      <c r="J5" s="137" t="s">
        <v>5</v>
      </c>
      <c r="K5" s="107"/>
    </row>
    <row r="6" spans="1:11">
      <c r="A6" s="130"/>
      <c r="B6" s="131"/>
      <c r="C6" s="132"/>
      <c r="D6" s="130"/>
      <c r="E6" s="131"/>
      <c r="F6" s="131"/>
      <c r="G6" s="131"/>
      <c r="H6" s="131"/>
      <c r="I6" s="132"/>
      <c r="J6" s="138" t="s">
        <v>6</v>
      </c>
      <c r="K6" s="107"/>
    </row>
    <row r="8" spans="1:11">
      <c r="A8" s="113" t="s">
        <v>7</v>
      </c>
      <c r="B8" s="106"/>
      <c r="C8" s="106"/>
      <c r="D8" s="106"/>
      <c r="E8" s="106"/>
      <c r="F8" s="106"/>
      <c r="G8" s="106"/>
      <c r="H8" s="106"/>
      <c r="I8" s="106"/>
      <c r="J8" s="106"/>
      <c r="K8" s="107"/>
    </row>
    <row r="9" spans="1:11">
      <c r="A9" s="143" t="s">
        <v>8</v>
      </c>
      <c r="B9" s="107"/>
      <c r="C9" s="149"/>
      <c r="D9" s="106"/>
      <c r="E9" s="106"/>
      <c r="F9" s="107"/>
      <c r="G9" s="143" t="s">
        <v>10</v>
      </c>
      <c r="H9" s="107"/>
      <c r="I9" s="158">
        <v>46249</v>
      </c>
      <c r="J9" s="106"/>
      <c r="K9" s="107"/>
    </row>
    <row r="10" spans="1:11">
      <c r="A10" s="143" t="s">
        <v>12</v>
      </c>
      <c r="B10" s="107"/>
      <c r="C10" s="157" t="s">
        <v>16</v>
      </c>
      <c r="D10" s="106"/>
      <c r="E10" s="106"/>
      <c r="F10" s="107"/>
      <c r="G10" s="143"/>
      <c r="H10" s="107"/>
      <c r="I10" s="150"/>
      <c r="J10" s="106"/>
      <c r="K10" s="107"/>
    </row>
    <row r="11" spans="1:11">
      <c r="A11" s="143" t="s">
        <v>17</v>
      </c>
      <c r="B11" s="107"/>
      <c r="C11" s="147"/>
      <c r="D11" s="106"/>
      <c r="E11" s="106"/>
      <c r="F11" s="107"/>
      <c r="G11" s="143" t="s">
        <v>18</v>
      </c>
      <c r="H11" s="107"/>
      <c r="I11" s="155">
        <f>G20</f>
        <v>320</v>
      </c>
      <c r="J11" s="106"/>
      <c r="K11" s="107"/>
    </row>
    <row r="12" spans="1:11">
      <c r="A12" s="143" t="s">
        <v>19</v>
      </c>
      <c r="B12" s="107"/>
      <c r="C12" s="147"/>
      <c r="D12" s="106"/>
      <c r="E12" s="106"/>
      <c r="F12" s="107"/>
      <c r="G12" s="143" t="s">
        <v>23</v>
      </c>
      <c r="H12" s="107"/>
      <c r="I12" s="148" t="s">
        <v>24</v>
      </c>
      <c r="J12" s="106"/>
      <c r="K12" s="107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3" t="s">
        <v>25</v>
      </c>
      <c r="B14" s="3"/>
      <c r="J14" s="104"/>
      <c r="K14" s="104"/>
    </row>
    <row r="15" spans="1:11">
      <c r="A15" s="156" t="s">
        <v>26</v>
      </c>
      <c r="B15" s="106"/>
      <c r="C15" s="106"/>
      <c r="D15" s="107"/>
      <c r="E15" s="5" t="s">
        <v>27</v>
      </c>
      <c r="F15" s="5" t="s">
        <v>28</v>
      </c>
      <c r="G15" s="5" t="s">
        <v>29</v>
      </c>
      <c r="H15" s="156" t="s">
        <v>12</v>
      </c>
      <c r="I15" s="107"/>
      <c r="J15" s="6"/>
      <c r="K15" s="6"/>
    </row>
    <row r="16" spans="1:11" ht="15" customHeight="1">
      <c r="A16" s="159" t="s">
        <v>32</v>
      </c>
      <c r="B16" s="122"/>
      <c r="C16" s="122"/>
      <c r="D16" s="123"/>
      <c r="E16" s="11">
        <v>1</v>
      </c>
      <c r="F16" s="14">
        <v>320</v>
      </c>
      <c r="G16" s="17">
        <f>F16*E16</f>
        <v>320</v>
      </c>
      <c r="H16" s="157" t="s">
        <v>16</v>
      </c>
      <c r="I16" s="107"/>
      <c r="J16" s="6"/>
      <c r="K16" s="6"/>
    </row>
    <row r="17" spans="1:11">
      <c r="A17" s="20"/>
      <c r="B17" s="20"/>
      <c r="C17" s="20"/>
      <c r="D17" s="20"/>
      <c r="E17" s="20"/>
      <c r="F17" s="20"/>
      <c r="G17" s="23"/>
      <c r="H17" s="23"/>
      <c r="I17" s="2"/>
      <c r="J17" s="2"/>
      <c r="K17" s="2"/>
    </row>
    <row r="18" spans="1:11" ht="15" customHeight="1">
      <c r="A18" s="111" t="s">
        <v>41</v>
      </c>
      <c r="B18" s="106"/>
      <c r="C18" s="106"/>
      <c r="D18" s="106"/>
      <c r="E18" s="106"/>
      <c r="F18" s="107"/>
      <c r="G18" s="30">
        <f>G16</f>
        <v>320</v>
      </c>
      <c r="H18" s="23"/>
      <c r="I18" s="2"/>
      <c r="J18" s="2"/>
      <c r="K18" s="2"/>
    </row>
    <row r="19" spans="1:11" ht="15" customHeight="1">
      <c r="A19" s="111" t="s">
        <v>46</v>
      </c>
      <c r="B19" s="106"/>
      <c r="C19" s="106"/>
      <c r="D19" s="106"/>
      <c r="E19" s="106"/>
      <c r="F19" s="107"/>
      <c r="G19" s="32">
        <v>0</v>
      </c>
      <c r="H19" s="23"/>
      <c r="I19" s="2"/>
      <c r="J19" s="2"/>
      <c r="K19" s="2"/>
    </row>
    <row r="20" spans="1:11" ht="15" customHeight="1">
      <c r="A20" s="111" t="s">
        <v>48</v>
      </c>
      <c r="B20" s="106"/>
      <c r="C20" s="106"/>
      <c r="D20" s="106"/>
      <c r="E20" s="106"/>
      <c r="F20" s="107"/>
      <c r="G20" s="30">
        <f>G18+G19</f>
        <v>320</v>
      </c>
      <c r="H20" s="23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35" t="s">
        <v>53</v>
      </c>
      <c r="B22" s="113" t="s">
        <v>54</v>
      </c>
      <c r="C22" s="106"/>
      <c r="D22" s="106"/>
      <c r="E22" s="106"/>
      <c r="F22" s="106"/>
      <c r="G22" s="106"/>
      <c r="H22" s="106"/>
      <c r="I22" s="106"/>
      <c r="J22" s="106"/>
      <c r="K22" s="107"/>
    </row>
    <row r="23" spans="1:11">
      <c r="A23" s="103" t="s">
        <v>56</v>
      </c>
      <c r="B23" s="104"/>
      <c r="C23" s="104"/>
      <c r="D23" s="38">
        <v>5</v>
      </c>
      <c r="E23" s="2" t="s">
        <v>58</v>
      </c>
      <c r="F23" s="103" t="s">
        <v>59</v>
      </c>
      <c r="G23" s="104"/>
      <c r="H23" s="104"/>
      <c r="I23" s="104"/>
      <c r="J23" s="103" t="s">
        <v>60</v>
      </c>
      <c r="K23" s="104"/>
    </row>
    <row r="24" spans="1:11">
      <c r="A24" s="2"/>
      <c r="B24" s="2"/>
      <c r="C24" s="2"/>
      <c r="D24" s="2"/>
      <c r="E24" s="2"/>
      <c r="F24" s="103" t="s">
        <v>61</v>
      </c>
      <c r="G24" s="104"/>
      <c r="H24" s="104"/>
      <c r="I24" s="42"/>
      <c r="J24" s="109" t="s">
        <v>63</v>
      </c>
      <c r="K24" s="104"/>
    </row>
    <row r="25" spans="1:11">
      <c r="A25" s="105" t="s">
        <v>64</v>
      </c>
      <c r="B25" s="106"/>
      <c r="C25" s="107"/>
      <c r="D25" s="103" t="s">
        <v>66</v>
      </c>
      <c r="E25" s="104"/>
      <c r="F25" s="108" t="s">
        <v>71</v>
      </c>
      <c r="G25" s="104"/>
      <c r="H25" s="104"/>
      <c r="I25" s="42"/>
      <c r="J25" s="103" t="s">
        <v>69</v>
      </c>
      <c r="K25" s="104"/>
    </row>
    <row r="26" spans="1:11">
      <c r="A26" s="109" t="s">
        <v>70</v>
      </c>
      <c r="B26" s="104"/>
      <c r="C26" s="104"/>
      <c r="D26" s="103" t="s">
        <v>72</v>
      </c>
      <c r="E26" s="104"/>
      <c r="F26" s="110" t="s">
        <v>73</v>
      </c>
      <c r="G26" s="104"/>
      <c r="H26" s="104"/>
      <c r="I26" s="42"/>
      <c r="J26" s="105" t="s">
        <v>74</v>
      </c>
      <c r="K26" s="107"/>
    </row>
    <row r="27" spans="1:11">
      <c r="A27" s="103" t="s">
        <v>75</v>
      </c>
      <c r="B27" s="104"/>
      <c r="C27" s="104"/>
      <c r="D27" s="103" t="s">
        <v>76</v>
      </c>
      <c r="E27" s="104"/>
      <c r="F27" s="103" t="s">
        <v>77</v>
      </c>
      <c r="G27" s="104"/>
      <c r="H27" s="104"/>
      <c r="I27" s="42"/>
      <c r="J27" s="103" t="s">
        <v>78</v>
      </c>
      <c r="K27" s="104"/>
    </row>
    <row r="28" spans="1:11" ht="13.8">
      <c r="A28" s="103" t="s">
        <v>79</v>
      </c>
      <c r="B28" s="104"/>
      <c r="C28" s="104"/>
      <c r="D28" s="2"/>
      <c r="E28" s="2"/>
      <c r="F28" s="114" t="s">
        <v>80</v>
      </c>
      <c r="G28" s="106"/>
      <c r="H28" s="106"/>
      <c r="I28" s="106"/>
      <c r="J28" s="106"/>
      <c r="K28" s="107"/>
    </row>
    <row r="29" spans="1:11" ht="13.8">
      <c r="A29" s="2"/>
      <c r="B29" s="2"/>
      <c r="C29" s="2"/>
      <c r="D29" s="2"/>
      <c r="E29" s="2"/>
      <c r="F29" s="115" t="s">
        <v>81</v>
      </c>
      <c r="G29" s="104"/>
      <c r="H29" s="104"/>
      <c r="I29" s="115" t="s">
        <v>83</v>
      </c>
      <c r="J29" s="104"/>
      <c r="K29" s="50"/>
    </row>
    <row r="30" spans="1:11" ht="16.8">
      <c r="A30" s="2"/>
      <c r="B30" s="2"/>
      <c r="C30" s="2"/>
      <c r="D30" s="2"/>
      <c r="E30" s="2"/>
      <c r="F30" s="153" t="s">
        <v>84</v>
      </c>
      <c r="G30" s="106"/>
      <c r="H30" s="107"/>
      <c r="I30" s="154" t="s">
        <v>85</v>
      </c>
      <c r="J30" s="107"/>
      <c r="K30" s="51"/>
    </row>
    <row r="31" spans="1:11" ht="13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6">
      <c r="A32" s="35" t="s">
        <v>86</v>
      </c>
      <c r="B32" s="113" t="s">
        <v>87</v>
      </c>
      <c r="C32" s="106"/>
      <c r="D32" s="106"/>
      <c r="E32" s="106"/>
      <c r="F32" s="106"/>
      <c r="G32" s="106"/>
      <c r="H32" s="106"/>
      <c r="I32" s="106"/>
      <c r="J32" s="106"/>
      <c r="K32" s="107"/>
    </row>
    <row r="33" spans="1:11" ht="13.8">
      <c r="A33" s="103" t="s">
        <v>88</v>
      </c>
      <c r="B33" s="104"/>
      <c r="C33" s="108" t="s">
        <v>90</v>
      </c>
      <c r="D33" s="104"/>
      <c r="E33" s="104"/>
      <c r="F33" s="119"/>
      <c r="G33" s="106"/>
      <c r="H33" s="106"/>
      <c r="I33" s="106"/>
      <c r="J33" s="106"/>
      <c r="K33" s="107"/>
    </row>
    <row r="34" spans="1:11" ht="13.8">
      <c r="A34" s="103" t="s">
        <v>91</v>
      </c>
      <c r="B34" s="104"/>
      <c r="C34" s="104"/>
      <c r="D34" s="152" t="s">
        <v>92</v>
      </c>
      <c r="E34" s="107"/>
      <c r="F34" s="119"/>
      <c r="G34" s="106"/>
      <c r="H34" s="106"/>
      <c r="I34" s="106"/>
      <c r="J34" s="106"/>
      <c r="K34" s="107"/>
    </row>
    <row r="35" spans="1:11" ht="13.8">
      <c r="A35" s="2"/>
      <c r="B35" s="2"/>
      <c r="C35" s="2"/>
      <c r="D35" s="2"/>
      <c r="E35" s="2"/>
      <c r="F35" s="119"/>
      <c r="G35" s="106"/>
      <c r="H35" s="106"/>
      <c r="I35" s="106"/>
      <c r="J35" s="106"/>
      <c r="K35" s="107"/>
    </row>
    <row r="36" spans="1:11" ht="13.8">
      <c r="A36" s="2"/>
      <c r="B36" s="2"/>
      <c r="C36" s="2"/>
      <c r="D36" s="2"/>
      <c r="E36" s="2"/>
      <c r="F36" s="119"/>
      <c r="G36" s="106"/>
      <c r="H36" s="106"/>
      <c r="I36" s="106"/>
      <c r="J36" s="106"/>
      <c r="K36" s="107"/>
    </row>
    <row r="37" spans="1:11" ht="13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6">
      <c r="A38" s="35" t="s">
        <v>97</v>
      </c>
      <c r="B38" s="113" t="s">
        <v>98</v>
      </c>
      <c r="C38" s="106"/>
      <c r="D38" s="106"/>
      <c r="E38" s="106"/>
      <c r="F38" s="106"/>
      <c r="G38" s="106"/>
      <c r="H38" s="106"/>
      <c r="I38" s="106"/>
      <c r="J38" s="106"/>
      <c r="K38" s="107"/>
    </row>
    <row r="39" spans="1:11" ht="13.8">
      <c r="A39" s="55" t="s">
        <v>100</v>
      </c>
      <c r="B39" s="120" t="s">
        <v>101</v>
      </c>
      <c r="C39" s="106"/>
      <c r="D39" s="106"/>
      <c r="E39" s="107"/>
      <c r="F39" s="120" t="s">
        <v>102</v>
      </c>
      <c r="G39" s="106"/>
      <c r="H39" s="107"/>
      <c r="I39" s="120" t="s">
        <v>103</v>
      </c>
      <c r="J39" s="107"/>
      <c r="K39" s="55"/>
    </row>
    <row r="40" spans="1:11" ht="13.8">
      <c r="A40" s="56" t="s">
        <v>104</v>
      </c>
      <c r="B40" s="121" t="s">
        <v>105</v>
      </c>
      <c r="C40" s="122"/>
      <c r="D40" s="122"/>
      <c r="E40" s="123"/>
      <c r="F40" s="124" t="s">
        <v>106</v>
      </c>
      <c r="G40" s="122"/>
      <c r="H40" s="123"/>
      <c r="I40" s="125"/>
      <c r="J40" s="123"/>
      <c r="K40" s="57"/>
    </row>
    <row r="41" spans="1:11" ht="13.8">
      <c r="A41" s="56" t="s">
        <v>108</v>
      </c>
      <c r="B41" s="121" t="s">
        <v>109</v>
      </c>
      <c r="C41" s="122"/>
      <c r="D41" s="122"/>
      <c r="E41" s="123"/>
      <c r="F41" s="124" t="s">
        <v>110</v>
      </c>
      <c r="G41" s="122"/>
      <c r="H41" s="123"/>
      <c r="I41" s="125"/>
      <c r="J41" s="123"/>
      <c r="K41" s="57"/>
    </row>
    <row r="42" spans="1:11" ht="13.8">
      <c r="A42" s="56" t="s">
        <v>111</v>
      </c>
      <c r="B42" s="121" t="s">
        <v>112</v>
      </c>
      <c r="C42" s="122"/>
      <c r="D42" s="122"/>
      <c r="E42" s="123"/>
      <c r="F42" s="124" t="s">
        <v>113</v>
      </c>
      <c r="G42" s="122"/>
      <c r="H42" s="123"/>
      <c r="I42" s="125"/>
      <c r="J42" s="123"/>
      <c r="K42" s="57"/>
    </row>
    <row r="43" spans="1:11" ht="13.8">
      <c r="A43" s="56" t="s">
        <v>114</v>
      </c>
      <c r="B43" s="121" t="s">
        <v>116</v>
      </c>
      <c r="C43" s="122"/>
      <c r="D43" s="122"/>
      <c r="E43" s="123"/>
      <c r="F43" s="124" t="s">
        <v>118</v>
      </c>
      <c r="G43" s="122"/>
      <c r="H43" s="123"/>
      <c r="I43" s="125"/>
      <c r="J43" s="123"/>
      <c r="K43" s="57"/>
    </row>
    <row r="44" spans="1:11" ht="13.8">
      <c r="A44" s="56" t="s">
        <v>53</v>
      </c>
      <c r="B44" s="121" t="s">
        <v>119</v>
      </c>
      <c r="C44" s="122"/>
      <c r="D44" s="122"/>
      <c r="E44" s="123"/>
      <c r="F44" s="124" t="s">
        <v>120</v>
      </c>
      <c r="G44" s="122"/>
      <c r="H44" s="123"/>
      <c r="I44" s="125"/>
      <c r="J44" s="123"/>
      <c r="K44" s="57"/>
    </row>
    <row r="45" spans="1:11" ht="13.8">
      <c r="A45" s="56" t="s">
        <v>121</v>
      </c>
      <c r="B45" s="121" t="s">
        <v>122</v>
      </c>
      <c r="C45" s="122"/>
      <c r="D45" s="122"/>
      <c r="E45" s="123"/>
      <c r="F45" s="124" t="s">
        <v>123</v>
      </c>
      <c r="G45" s="122"/>
      <c r="H45" s="123"/>
      <c r="I45" s="125"/>
      <c r="J45" s="123"/>
      <c r="K45" s="57"/>
    </row>
    <row r="46" spans="1:11" ht="13.8">
      <c r="A46" s="2"/>
      <c r="B46" s="2"/>
      <c r="C46" s="2"/>
      <c r="D46" s="2"/>
      <c r="E46" s="2"/>
      <c r="F46" s="2"/>
      <c r="G46" s="2"/>
      <c r="H46" s="2"/>
      <c r="I46" s="2"/>
      <c r="J46" s="2"/>
      <c r="K46" s="58"/>
    </row>
    <row r="47" spans="1:11" ht="15.6">
      <c r="A47" s="35" t="s">
        <v>124</v>
      </c>
      <c r="B47" s="113" t="s">
        <v>125</v>
      </c>
      <c r="C47" s="106"/>
      <c r="D47" s="106"/>
      <c r="E47" s="106"/>
      <c r="F47" s="106"/>
      <c r="G47" s="106"/>
      <c r="H47" s="106"/>
      <c r="I47" s="106"/>
      <c r="J47" s="106"/>
      <c r="K47" s="107"/>
    </row>
    <row r="48" spans="1:11" ht="13.8">
      <c r="A48" s="133" t="s">
        <v>126</v>
      </c>
      <c r="B48" s="104"/>
      <c r="C48" s="104"/>
      <c r="D48" s="104"/>
      <c r="E48" s="133" t="s">
        <v>127</v>
      </c>
      <c r="F48" s="104"/>
      <c r="G48" s="104"/>
      <c r="H48" s="104"/>
      <c r="I48" s="133" t="s">
        <v>128</v>
      </c>
      <c r="J48" s="104"/>
      <c r="K48" s="104"/>
    </row>
    <row r="49" spans="1:11" ht="15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</row>
    <row r="50" spans="1:11" ht="13.8">
      <c r="A50" s="103" t="s">
        <v>129</v>
      </c>
      <c r="B50" s="104"/>
      <c r="C50" s="104"/>
      <c r="D50" s="134"/>
      <c r="E50" s="128"/>
      <c r="F50" s="128"/>
      <c r="G50" s="128"/>
      <c r="H50" s="128"/>
      <c r="I50" s="128"/>
      <c r="J50" s="128"/>
      <c r="K50" s="129"/>
    </row>
    <row r="51" spans="1:11" ht="13.8">
      <c r="A51" s="2"/>
      <c r="B51" s="2"/>
      <c r="C51" s="2"/>
      <c r="D51" s="135"/>
      <c r="E51" s="104"/>
      <c r="F51" s="104"/>
      <c r="G51" s="104"/>
      <c r="H51" s="104"/>
      <c r="I51" s="104"/>
      <c r="J51" s="104"/>
      <c r="K51" s="136"/>
    </row>
    <row r="52" spans="1:11" ht="13.8">
      <c r="A52" s="2"/>
      <c r="B52" s="2"/>
      <c r="C52" s="2"/>
      <c r="D52" s="130"/>
      <c r="E52" s="131"/>
      <c r="F52" s="131"/>
      <c r="G52" s="131"/>
      <c r="H52" s="131"/>
      <c r="I52" s="131"/>
      <c r="J52" s="131"/>
      <c r="K52" s="132"/>
    </row>
    <row r="54" spans="1:11" ht="13.8">
      <c r="A54" s="127" t="s">
        <v>130</v>
      </c>
      <c r="B54" s="128"/>
      <c r="C54" s="128"/>
      <c r="D54" s="129"/>
      <c r="E54" s="127" t="s">
        <v>131</v>
      </c>
      <c r="F54" s="128"/>
      <c r="G54" s="128"/>
      <c r="H54" s="129"/>
      <c r="I54" s="127" t="s">
        <v>132</v>
      </c>
      <c r="J54" s="128"/>
      <c r="K54" s="129"/>
    </row>
    <row r="55" spans="1:11" ht="13.8">
      <c r="A55" s="130"/>
      <c r="B55" s="131"/>
      <c r="C55" s="131"/>
      <c r="D55" s="132"/>
      <c r="E55" s="130"/>
      <c r="F55" s="131"/>
      <c r="G55" s="131"/>
      <c r="H55" s="132"/>
      <c r="I55" s="130"/>
      <c r="J55" s="131"/>
      <c r="K55" s="132"/>
    </row>
  </sheetData>
  <mergeCells count="98">
    <mergeCell ref="F35:K35"/>
    <mergeCell ref="F36:K36"/>
    <mergeCell ref="B38:K38"/>
    <mergeCell ref="B39:E39"/>
    <mergeCell ref="F39:H39"/>
    <mergeCell ref="I39:J39"/>
    <mergeCell ref="A1:C6"/>
    <mergeCell ref="A9:B9"/>
    <mergeCell ref="A10:B10"/>
    <mergeCell ref="A11:B11"/>
    <mergeCell ref="A12:B12"/>
    <mergeCell ref="H16:I16"/>
    <mergeCell ref="C12:F12"/>
    <mergeCell ref="G12:H12"/>
    <mergeCell ref="I12:K12"/>
    <mergeCell ref="C9:F9"/>
    <mergeCell ref="G9:H9"/>
    <mergeCell ref="I9:K9"/>
    <mergeCell ref="C10:F10"/>
    <mergeCell ref="G10:H10"/>
    <mergeCell ref="I10:K10"/>
    <mergeCell ref="C11:F11"/>
    <mergeCell ref="A15:D15"/>
    <mergeCell ref="A16:D16"/>
    <mergeCell ref="A8:K8"/>
    <mergeCell ref="G11:H11"/>
    <mergeCell ref="I11:K11"/>
    <mergeCell ref="J14:K14"/>
    <mergeCell ref="H15:I15"/>
    <mergeCell ref="J5:K5"/>
    <mergeCell ref="J6:K6"/>
    <mergeCell ref="D1:I4"/>
    <mergeCell ref="J1:K1"/>
    <mergeCell ref="J2:K2"/>
    <mergeCell ref="J3:K3"/>
    <mergeCell ref="J4:K4"/>
    <mergeCell ref="D5:I6"/>
    <mergeCell ref="B47:K47"/>
    <mergeCell ref="E54:H55"/>
    <mergeCell ref="I54:K55"/>
    <mergeCell ref="B45:E45"/>
    <mergeCell ref="A48:D49"/>
    <mergeCell ref="E48:H49"/>
    <mergeCell ref="I48:K49"/>
    <mergeCell ref="A50:C50"/>
    <mergeCell ref="D50:K52"/>
    <mergeCell ref="A54:D55"/>
    <mergeCell ref="F45:H45"/>
    <mergeCell ref="I45:J45"/>
    <mergeCell ref="B43:E43"/>
    <mergeCell ref="F43:H43"/>
    <mergeCell ref="I43:J43"/>
    <mergeCell ref="B44:E44"/>
    <mergeCell ref="F44:H44"/>
    <mergeCell ref="I44:J44"/>
    <mergeCell ref="F42:H42"/>
    <mergeCell ref="I42:J42"/>
    <mergeCell ref="B40:E40"/>
    <mergeCell ref="F40:H40"/>
    <mergeCell ref="I40:J40"/>
    <mergeCell ref="B41:E41"/>
    <mergeCell ref="F41:H41"/>
    <mergeCell ref="I41:J41"/>
    <mergeCell ref="B42:E42"/>
    <mergeCell ref="A33:B33"/>
    <mergeCell ref="A34:C34"/>
    <mergeCell ref="D34:E34"/>
    <mergeCell ref="F29:H29"/>
    <mergeCell ref="I29:J29"/>
    <mergeCell ref="F30:H30"/>
    <mergeCell ref="I30:J30"/>
    <mergeCell ref="B32:K32"/>
    <mergeCell ref="C33:E33"/>
    <mergeCell ref="F33:K33"/>
    <mergeCell ref="F34:K34"/>
    <mergeCell ref="A27:C27"/>
    <mergeCell ref="D27:E27"/>
    <mergeCell ref="F27:H27"/>
    <mergeCell ref="J27:K27"/>
    <mergeCell ref="A28:C28"/>
    <mergeCell ref="F28:K28"/>
    <mergeCell ref="A25:C25"/>
    <mergeCell ref="D25:E25"/>
    <mergeCell ref="F25:H25"/>
    <mergeCell ref="J25:K25"/>
    <mergeCell ref="D26:E26"/>
    <mergeCell ref="F26:H26"/>
    <mergeCell ref="J26:K26"/>
    <mergeCell ref="A26:C26"/>
    <mergeCell ref="J23:K23"/>
    <mergeCell ref="J24:K24"/>
    <mergeCell ref="A18:F18"/>
    <mergeCell ref="A19:F19"/>
    <mergeCell ref="A20:F20"/>
    <mergeCell ref="B22:K22"/>
    <mergeCell ref="A23:C23"/>
    <mergeCell ref="F23:I23"/>
    <mergeCell ref="F24:H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68"/>
  <sheetViews>
    <sheetView tabSelected="1" topLeftCell="A20" zoomScale="115" workbookViewId="0">
      <selection activeCell="F36" sqref="F36:I36"/>
    </sheetView>
  </sheetViews>
  <sheetFormatPr defaultColWidth="12.59765625" defaultRowHeight="15" customHeight="1"/>
  <cols>
    <col min="2" max="2" width="9.09765625" customWidth="1"/>
    <col min="4" max="4" width="7.69921875" customWidth="1"/>
    <col min="6" max="6" width="13" customWidth="1"/>
    <col min="7" max="7" width="18.69921875" customWidth="1"/>
    <col min="8" max="8" width="10.09765625" customWidth="1"/>
    <col min="9" max="9" width="4.69921875" customWidth="1"/>
    <col min="10" max="10" width="29.69921875" customWidth="1"/>
    <col min="11" max="11" width="3.09765625" customWidth="1"/>
  </cols>
  <sheetData>
    <row r="1" spans="1:11">
      <c r="A1" s="151" t="s">
        <v>0</v>
      </c>
      <c r="B1" s="128"/>
      <c r="C1" s="129"/>
      <c r="D1" s="139" t="s">
        <v>1</v>
      </c>
      <c r="E1" s="128"/>
      <c r="F1" s="128"/>
      <c r="G1" s="128"/>
      <c r="H1" s="128"/>
      <c r="I1" s="129"/>
      <c r="J1" s="137"/>
      <c r="K1" s="107"/>
    </row>
    <row r="2" spans="1:11">
      <c r="A2" s="135"/>
      <c r="B2" s="104"/>
      <c r="C2" s="136"/>
      <c r="D2" s="135"/>
      <c r="E2" s="104"/>
      <c r="F2" s="104"/>
      <c r="G2" s="104"/>
      <c r="H2" s="104"/>
      <c r="I2" s="136"/>
      <c r="J2" s="140"/>
      <c r="K2" s="107"/>
    </row>
    <row r="3" spans="1:11">
      <c r="A3" s="135"/>
      <c r="B3" s="104"/>
      <c r="C3" s="136"/>
      <c r="D3" s="135"/>
      <c r="E3" s="104"/>
      <c r="F3" s="104"/>
      <c r="G3" s="104"/>
      <c r="H3" s="104"/>
      <c r="I3" s="136"/>
      <c r="J3" s="137" t="s">
        <v>2</v>
      </c>
      <c r="K3" s="107"/>
    </row>
    <row r="4" spans="1:11">
      <c r="A4" s="135"/>
      <c r="B4" s="104"/>
      <c r="C4" s="136"/>
      <c r="D4" s="130"/>
      <c r="E4" s="131"/>
      <c r="F4" s="131"/>
      <c r="G4" s="131"/>
      <c r="H4" s="131"/>
      <c r="I4" s="132"/>
      <c r="J4" s="141" t="s">
        <v>3</v>
      </c>
      <c r="K4" s="107"/>
    </row>
    <row r="5" spans="1:11">
      <c r="A5" s="135"/>
      <c r="B5" s="104"/>
      <c r="C5" s="136"/>
      <c r="D5" s="142" t="s">
        <v>4</v>
      </c>
      <c r="E5" s="128"/>
      <c r="F5" s="128"/>
      <c r="G5" s="128"/>
      <c r="H5" s="128"/>
      <c r="I5" s="129"/>
      <c r="J5" s="137" t="s">
        <v>5</v>
      </c>
      <c r="K5" s="107"/>
    </row>
    <row r="6" spans="1:11">
      <c r="A6" s="130"/>
      <c r="B6" s="131"/>
      <c r="C6" s="132"/>
      <c r="D6" s="130"/>
      <c r="E6" s="131"/>
      <c r="F6" s="131"/>
      <c r="G6" s="131"/>
      <c r="H6" s="131"/>
      <c r="I6" s="132"/>
      <c r="J6" s="138" t="s">
        <v>6</v>
      </c>
      <c r="K6" s="107"/>
    </row>
    <row r="8" spans="1:11">
      <c r="A8" s="113" t="s">
        <v>7</v>
      </c>
      <c r="B8" s="106"/>
      <c r="C8" s="106"/>
      <c r="D8" s="106"/>
      <c r="E8" s="106"/>
      <c r="F8" s="106"/>
      <c r="G8" s="106"/>
      <c r="H8" s="106"/>
      <c r="I8" s="106"/>
      <c r="J8" s="106"/>
      <c r="K8" s="107"/>
    </row>
    <row r="9" spans="1:11">
      <c r="A9" s="143" t="s">
        <v>8</v>
      </c>
      <c r="B9" s="107"/>
      <c r="C9" s="149" t="s">
        <v>11</v>
      </c>
      <c r="D9" s="106"/>
      <c r="E9" s="106"/>
      <c r="F9" s="107"/>
      <c r="G9" s="160" t="s">
        <v>13</v>
      </c>
      <c r="H9" s="107"/>
      <c r="I9" s="161">
        <v>9975</v>
      </c>
      <c r="J9" s="106"/>
      <c r="K9" s="107"/>
    </row>
    <row r="10" spans="1:11">
      <c r="A10" s="143" t="s">
        <v>12</v>
      </c>
      <c r="B10" s="107"/>
      <c r="C10" s="147" t="s">
        <v>15</v>
      </c>
      <c r="D10" s="106"/>
      <c r="E10" s="106"/>
      <c r="F10" s="107"/>
      <c r="G10" s="143"/>
      <c r="H10" s="107"/>
      <c r="I10" s="150"/>
      <c r="J10" s="106"/>
      <c r="K10" s="107"/>
    </row>
    <row r="11" spans="1:11">
      <c r="A11" s="143" t="s">
        <v>14</v>
      </c>
      <c r="B11" s="107"/>
      <c r="C11" s="149"/>
      <c r="D11" s="106"/>
      <c r="E11" s="106"/>
      <c r="F11" s="107"/>
      <c r="G11" s="143"/>
      <c r="H11" s="107"/>
      <c r="I11" s="150"/>
      <c r="J11" s="106"/>
      <c r="K11" s="107"/>
    </row>
    <row r="12" spans="1:11">
      <c r="A12" s="143" t="s">
        <v>17</v>
      </c>
      <c r="B12" s="107"/>
      <c r="C12" s="147" t="s">
        <v>15</v>
      </c>
      <c r="D12" s="106"/>
      <c r="E12" s="106"/>
      <c r="F12" s="107"/>
      <c r="G12" s="143" t="s">
        <v>18</v>
      </c>
      <c r="H12" s="107"/>
      <c r="I12" s="155">
        <f>G33</f>
        <v>7551.0250000000005</v>
      </c>
      <c r="J12" s="106"/>
      <c r="K12" s="107"/>
    </row>
    <row r="13" spans="1:11">
      <c r="A13" s="143" t="s">
        <v>19</v>
      </c>
      <c r="B13" s="107"/>
      <c r="C13" s="147" t="s">
        <v>20</v>
      </c>
      <c r="D13" s="106"/>
      <c r="E13" s="106"/>
      <c r="F13" s="107"/>
      <c r="G13" s="143" t="s">
        <v>23</v>
      </c>
      <c r="H13" s="107"/>
      <c r="I13" s="148" t="s">
        <v>24</v>
      </c>
      <c r="J13" s="106"/>
      <c r="K13" s="107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3" t="s">
        <v>25</v>
      </c>
      <c r="B15" s="3"/>
      <c r="J15" s="104"/>
      <c r="K15" s="104"/>
    </row>
    <row r="16" spans="1:11">
      <c r="A16" s="145" t="s">
        <v>26</v>
      </c>
      <c r="B16" s="128"/>
      <c r="C16" s="128"/>
      <c r="D16" s="129"/>
      <c r="E16" s="5" t="s">
        <v>27</v>
      </c>
      <c r="F16" s="5" t="s">
        <v>28</v>
      </c>
      <c r="G16" s="5" t="s">
        <v>29</v>
      </c>
      <c r="H16" s="145" t="s">
        <v>12</v>
      </c>
      <c r="I16" s="129"/>
      <c r="J16" s="6"/>
      <c r="K16" s="6"/>
    </row>
    <row r="17" spans="1:25" ht="15" customHeight="1">
      <c r="A17" s="164" t="s">
        <v>30</v>
      </c>
      <c r="B17" s="122"/>
      <c r="C17" s="122"/>
      <c r="D17" s="123"/>
      <c r="E17" s="8">
        <v>24</v>
      </c>
      <c r="F17" s="8">
        <v>13</v>
      </c>
      <c r="G17" s="12">
        <f t="shared" ref="G17:G29" si="0">E17*F17</f>
        <v>312</v>
      </c>
      <c r="H17" s="162" t="s">
        <v>34</v>
      </c>
      <c r="I17" s="123"/>
      <c r="J17" s="6"/>
      <c r="K17" s="6"/>
    </row>
    <row r="18" spans="1:25" ht="15" customHeight="1">
      <c r="A18" s="164" t="s">
        <v>35</v>
      </c>
      <c r="B18" s="122"/>
      <c r="C18" s="122"/>
      <c r="D18" s="123"/>
      <c r="E18" s="8">
        <v>3</v>
      </c>
      <c r="F18" s="8">
        <v>105</v>
      </c>
      <c r="G18" s="12">
        <f t="shared" si="0"/>
        <v>315</v>
      </c>
      <c r="H18" s="162" t="s">
        <v>34</v>
      </c>
      <c r="I18" s="123"/>
      <c r="J18" s="18"/>
      <c r="K18" s="18"/>
    </row>
    <row r="19" spans="1:25" ht="15" customHeight="1">
      <c r="A19" s="164" t="s">
        <v>37</v>
      </c>
      <c r="B19" s="122"/>
      <c r="C19" s="122"/>
      <c r="D19" s="123"/>
      <c r="E19" s="8">
        <v>4</v>
      </c>
      <c r="F19" s="8">
        <v>105</v>
      </c>
      <c r="G19" s="12">
        <f t="shared" si="0"/>
        <v>420</v>
      </c>
      <c r="H19" s="162" t="s">
        <v>34</v>
      </c>
      <c r="I19" s="12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5" customHeight="1">
      <c r="A20" s="164" t="s">
        <v>40</v>
      </c>
      <c r="B20" s="122"/>
      <c r="C20" s="122"/>
      <c r="D20" s="123"/>
      <c r="E20" s="8">
        <v>6</v>
      </c>
      <c r="F20" s="8">
        <v>90</v>
      </c>
      <c r="G20" s="12">
        <f t="shared" si="0"/>
        <v>540</v>
      </c>
      <c r="H20" s="162" t="s">
        <v>34</v>
      </c>
      <c r="I20" s="123"/>
      <c r="J20" s="18"/>
      <c r="K20" s="18"/>
    </row>
    <row r="21" spans="1:25" ht="15" customHeight="1">
      <c r="A21" s="164" t="s">
        <v>43</v>
      </c>
      <c r="B21" s="122"/>
      <c r="C21" s="122"/>
      <c r="D21" s="123"/>
      <c r="E21" s="8">
        <v>1</v>
      </c>
      <c r="F21" s="8">
        <v>810</v>
      </c>
      <c r="G21" s="12">
        <f t="shared" si="0"/>
        <v>810</v>
      </c>
      <c r="H21" s="162" t="s">
        <v>34</v>
      </c>
      <c r="I21" s="123"/>
      <c r="J21" s="2"/>
      <c r="K21" s="2"/>
    </row>
    <row r="22" spans="1:25" ht="15" customHeight="1">
      <c r="A22" s="164" t="s">
        <v>45</v>
      </c>
      <c r="B22" s="122"/>
      <c r="C22" s="122"/>
      <c r="D22" s="123"/>
      <c r="E22" s="8">
        <v>1</v>
      </c>
      <c r="F22" s="8">
        <v>450</v>
      </c>
      <c r="G22" s="12">
        <f t="shared" si="0"/>
        <v>450</v>
      </c>
      <c r="H22" s="162" t="s">
        <v>34</v>
      </c>
      <c r="I22" s="123"/>
      <c r="J22" s="2"/>
      <c r="K22" s="2"/>
    </row>
    <row r="23" spans="1:25" ht="15" customHeight="1">
      <c r="A23" s="164" t="s">
        <v>47</v>
      </c>
      <c r="B23" s="122"/>
      <c r="C23" s="122"/>
      <c r="D23" s="123"/>
      <c r="E23" s="8">
        <v>30</v>
      </c>
      <c r="F23" s="8">
        <v>1.5</v>
      </c>
      <c r="G23" s="12">
        <f t="shared" si="0"/>
        <v>45</v>
      </c>
      <c r="H23" s="162" t="s">
        <v>34</v>
      </c>
      <c r="I23" s="123"/>
      <c r="J23" s="2"/>
      <c r="K23" s="2"/>
    </row>
    <row r="24" spans="1:25" ht="15" customHeight="1">
      <c r="A24" s="164" t="s">
        <v>49</v>
      </c>
      <c r="B24" s="122"/>
      <c r="C24" s="122"/>
      <c r="D24" s="123"/>
      <c r="E24" s="8">
        <v>1</v>
      </c>
      <c r="F24" s="8">
        <v>50</v>
      </c>
      <c r="G24" s="12">
        <f t="shared" si="0"/>
        <v>50</v>
      </c>
      <c r="H24" s="162" t="s">
        <v>34</v>
      </c>
      <c r="I24" s="123"/>
      <c r="J24" s="2"/>
      <c r="K24" s="2"/>
    </row>
    <row r="25" spans="1:25" ht="15" customHeight="1">
      <c r="A25" s="164" t="s">
        <v>51</v>
      </c>
      <c r="B25" s="122"/>
      <c r="C25" s="122"/>
      <c r="D25" s="123"/>
      <c r="E25" s="8">
        <v>15</v>
      </c>
      <c r="F25" s="8">
        <v>1.5</v>
      </c>
      <c r="G25" s="12">
        <f t="shared" si="0"/>
        <v>22.5</v>
      </c>
      <c r="H25" s="162" t="s">
        <v>34</v>
      </c>
      <c r="I25" s="123"/>
      <c r="J25" s="2"/>
      <c r="K25" s="2"/>
    </row>
    <row r="26" spans="1:25" ht="15" customHeight="1">
      <c r="A26" s="164" t="s">
        <v>52</v>
      </c>
      <c r="B26" s="122"/>
      <c r="C26" s="122"/>
      <c r="D26" s="123"/>
      <c r="E26" s="8">
        <v>2</v>
      </c>
      <c r="F26" s="8">
        <v>1438</v>
      </c>
      <c r="G26" s="12">
        <f t="shared" si="0"/>
        <v>2876</v>
      </c>
      <c r="H26" s="162" t="s">
        <v>34</v>
      </c>
      <c r="I26" s="123"/>
      <c r="J26" s="2"/>
      <c r="K26" s="2"/>
    </row>
    <row r="27" spans="1:25" ht="15" customHeight="1">
      <c r="A27" s="164" t="s">
        <v>55</v>
      </c>
      <c r="B27" s="122"/>
      <c r="C27" s="122"/>
      <c r="D27" s="123"/>
      <c r="E27" s="8">
        <v>100</v>
      </c>
      <c r="F27" s="8">
        <v>5.5</v>
      </c>
      <c r="G27" s="12">
        <f t="shared" si="0"/>
        <v>550</v>
      </c>
      <c r="H27" s="162" t="s">
        <v>34</v>
      </c>
      <c r="I27" s="123"/>
      <c r="J27" s="2"/>
      <c r="K27" s="2"/>
    </row>
    <row r="28" spans="1:25" ht="15.6">
      <c r="A28" s="164" t="s">
        <v>57</v>
      </c>
      <c r="B28" s="122"/>
      <c r="C28" s="122"/>
      <c r="D28" s="123"/>
      <c r="E28" s="8">
        <v>6</v>
      </c>
      <c r="F28" s="8">
        <v>30</v>
      </c>
      <c r="G28" s="12">
        <f t="shared" si="0"/>
        <v>180</v>
      </c>
      <c r="H28" s="162" t="s">
        <v>34</v>
      </c>
      <c r="I28" s="123"/>
      <c r="J28" s="2"/>
      <c r="K28" s="2"/>
    </row>
    <row r="29" spans="1:25" ht="15.6">
      <c r="A29" s="164" t="s">
        <v>62</v>
      </c>
      <c r="B29" s="122"/>
      <c r="C29" s="122"/>
      <c r="D29" s="123"/>
      <c r="E29" s="8">
        <v>4</v>
      </c>
      <c r="F29" s="8">
        <v>60</v>
      </c>
      <c r="G29" s="12">
        <f t="shared" si="0"/>
        <v>240</v>
      </c>
      <c r="H29" s="162" t="s">
        <v>34</v>
      </c>
      <c r="I29" s="123"/>
      <c r="J29" s="2"/>
      <c r="K29" s="2"/>
    </row>
    <row r="30" spans="1:25" ht="15.6">
      <c r="A30" s="41"/>
      <c r="B30" s="41"/>
      <c r="C30" s="41"/>
      <c r="D30" s="41"/>
      <c r="E30" s="20"/>
      <c r="F30" s="46" t="s">
        <v>68</v>
      </c>
      <c r="G30" s="30">
        <f>SUM(G17:G29)</f>
        <v>6810.5</v>
      </c>
      <c r="H30" s="44"/>
      <c r="I30" s="45"/>
      <c r="J30" s="2"/>
      <c r="K30" s="2"/>
    </row>
    <row r="31" spans="1:25" ht="15.6">
      <c r="A31" s="111" t="s">
        <v>41</v>
      </c>
      <c r="B31" s="106"/>
      <c r="C31" s="106"/>
      <c r="D31" s="106"/>
      <c r="E31" s="106"/>
      <c r="F31" s="107"/>
      <c r="G31" s="30">
        <f>G30*1.05</f>
        <v>7151.0250000000005</v>
      </c>
      <c r="H31" s="48"/>
      <c r="I31" s="49"/>
      <c r="J31" s="2"/>
      <c r="K31" s="2"/>
    </row>
    <row r="32" spans="1:25" ht="15.6">
      <c r="A32" s="111" t="s">
        <v>46</v>
      </c>
      <c r="B32" s="106"/>
      <c r="C32" s="106"/>
      <c r="D32" s="106"/>
      <c r="E32" s="106"/>
      <c r="F32" s="107"/>
      <c r="G32" s="30">
        <v>400</v>
      </c>
      <c r="H32" s="48"/>
      <c r="I32" s="49"/>
      <c r="J32" s="2"/>
      <c r="K32" s="2"/>
    </row>
    <row r="33" spans="1:11" ht="19.2">
      <c r="A33" s="111" t="s">
        <v>48</v>
      </c>
      <c r="B33" s="106"/>
      <c r="C33" s="106"/>
      <c r="D33" s="106"/>
      <c r="E33" s="106"/>
      <c r="F33" s="107"/>
      <c r="G33" s="52">
        <f>SUM(G31,G32)</f>
        <v>7551.0250000000005</v>
      </c>
      <c r="H33" s="48"/>
      <c r="I33" s="49"/>
      <c r="J33" s="2"/>
      <c r="K33" s="2"/>
    </row>
    <row r="34" spans="1:11" ht="13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6">
      <c r="A35" s="35" t="s">
        <v>53</v>
      </c>
      <c r="B35" s="113" t="s">
        <v>54</v>
      </c>
      <c r="C35" s="106"/>
      <c r="D35" s="106"/>
      <c r="E35" s="106"/>
      <c r="F35" s="106"/>
      <c r="G35" s="106"/>
      <c r="H35" s="106"/>
      <c r="I35" s="106"/>
      <c r="J35" s="106"/>
      <c r="K35" s="107"/>
    </row>
    <row r="36" spans="1:11" ht="13.8">
      <c r="A36" s="103" t="s">
        <v>56</v>
      </c>
      <c r="B36" s="104"/>
      <c r="C36" s="104"/>
      <c r="D36" s="38">
        <v>90</v>
      </c>
      <c r="E36" s="2" t="s">
        <v>58</v>
      </c>
      <c r="F36" s="103" t="s">
        <v>59</v>
      </c>
      <c r="G36" s="104"/>
      <c r="H36" s="104"/>
      <c r="I36" s="104"/>
      <c r="J36" s="103" t="s">
        <v>60</v>
      </c>
      <c r="K36" s="104"/>
    </row>
    <row r="37" spans="1:11" ht="13.8">
      <c r="A37" s="2"/>
      <c r="B37" s="2"/>
      <c r="C37" s="2"/>
      <c r="D37" s="2"/>
      <c r="E37" s="2"/>
      <c r="F37" s="103" t="s">
        <v>191</v>
      </c>
      <c r="G37" s="104"/>
      <c r="H37" s="104"/>
      <c r="I37" s="42"/>
      <c r="J37" s="109" t="s">
        <v>63</v>
      </c>
      <c r="K37" s="104"/>
    </row>
    <row r="38" spans="1:11" ht="13.8">
      <c r="A38" s="105" t="s">
        <v>64</v>
      </c>
      <c r="B38" s="106"/>
      <c r="C38" s="107"/>
      <c r="D38" s="103" t="s">
        <v>66</v>
      </c>
      <c r="E38" s="104"/>
      <c r="F38" s="108" t="s">
        <v>94</v>
      </c>
      <c r="G38" s="104"/>
      <c r="H38" s="104"/>
      <c r="I38" s="42"/>
      <c r="J38" s="103" t="s">
        <v>69</v>
      </c>
      <c r="K38" s="104"/>
    </row>
    <row r="39" spans="1:11" ht="13.8">
      <c r="A39" s="109" t="s">
        <v>70</v>
      </c>
      <c r="B39" s="104"/>
      <c r="C39" s="104"/>
      <c r="D39" s="103" t="s">
        <v>72</v>
      </c>
      <c r="E39" s="104"/>
      <c r="F39" s="110" t="s">
        <v>95</v>
      </c>
      <c r="G39" s="104"/>
      <c r="H39" s="104"/>
      <c r="I39" s="42"/>
      <c r="J39" s="105" t="s">
        <v>74</v>
      </c>
      <c r="K39" s="107"/>
    </row>
    <row r="40" spans="1:11" ht="13.8">
      <c r="A40" s="103" t="s">
        <v>75</v>
      </c>
      <c r="B40" s="104"/>
      <c r="C40" s="104"/>
      <c r="D40" s="103" t="s">
        <v>76</v>
      </c>
      <c r="E40" s="104"/>
      <c r="F40" s="103" t="s">
        <v>99</v>
      </c>
      <c r="G40" s="104"/>
      <c r="H40" s="104"/>
      <c r="I40" s="42"/>
      <c r="J40" s="103" t="s">
        <v>78</v>
      </c>
      <c r="K40" s="104"/>
    </row>
    <row r="41" spans="1:11" ht="13.8">
      <c r="A41" s="103" t="s">
        <v>79</v>
      </c>
      <c r="B41" s="104"/>
      <c r="C41" s="104"/>
      <c r="D41" s="2"/>
      <c r="E41" s="2"/>
      <c r="F41" s="114" t="s">
        <v>80</v>
      </c>
      <c r="G41" s="106"/>
      <c r="H41" s="106"/>
      <c r="I41" s="106"/>
      <c r="J41" s="106"/>
      <c r="K41" s="107"/>
    </row>
    <row r="42" spans="1:11" ht="13.8">
      <c r="A42" s="2"/>
      <c r="B42" s="2"/>
      <c r="C42" s="2"/>
      <c r="D42" s="2"/>
      <c r="E42" s="2"/>
      <c r="F42" s="115" t="s">
        <v>81</v>
      </c>
      <c r="G42" s="104"/>
      <c r="H42" s="104"/>
      <c r="I42" s="115" t="s">
        <v>83</v>
      </c>
      <c r="J42" s="104"/>
      <c r="K42" s="50"/>
    </row>
    <row r="43" spans="1:11" ht="13.8">
      <c r="A43" s="2"/>
      <c r="B43" s="2"/>
      <c r="C43" s="2"/>
      <c r="D43" s="2"/>
      <c r="E43" s="2"/>
      <c r="F43" s="163">
        <f>I9*0.3+I9*0.1</f>
        <v>3990</v>
      </c>
      <c r="G43" s="106"/>
      <c r="H43" s="107"/>
      <c r="I43" s="152" t="s">
        <v>107</v>
      </c>
      <c r="J43" s="107"/>
      <c r="K43" s="51"/>
    </row>
    <row r="44" spans="1:11" ht="13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6">
      <c r="A45" s="35" t="s">
        <v>86</v>
      </c>
      <c r="B45" s="113" t="s">
        <v>87</v>
      </c>
      <c r="C45" s="106"/>
      <c r="D45" s="106"/>
      <c r="E45" s="106"/>
      <c r="F45" s="106"/>
      <c r="G45" s="106"/>
      <c r="H45" s="106"/>
      <c r="I45" s="106"/>
      <c r="J45" s="106"/>
      <c r="K45" s="107"/>
    </row>
    <row r="46" spans="1:11" ht="13.8">
      <c r="A46" s="103" t="s">
        <v>88</v>
      </c>
      <c r="B46" s="104"/>
      <c r="C46" s="108" t="s">
        <v>117</v>
      </c>
      <c r="D46" s="104"/>
      <c r="E46" s="104"/>
      <c r="F46" s="119"/>
      <c r="G46" s="106"/>
      <c r="H46" s="106"/>
      <c r="I46" s="106"/>
      <c r="J46" s="106"/>
      <c r="K46" s="107"/>
    </row>
    <row r="47" spans="1:11" ht="13.8">
      <c r="A47" s="103" t="s">
        <v>91</v>
      </c>
      <c r="B47" s="104"/>
      <c r="C47" s="104"/>
      <c r="D47" s="152" t="s">
        <v>92</v>
      </c>
      <c r="E47" s="107"/>
      <c r="F47" s="119"/>
      <c r="G47" s="106"/>
      <c r="H47" s="106"/>
      <c r="I47" s="106"/>
      <c r="J47" s="106"/>
      <c r="K47" s="107"/>
    </row>
    <row r="48" spans="1:11" ht="13.8">
      <c r="A48" s="2"/>
      <c r="B48" s="2"/>
      <c r="C48" s="2"/>
      <c r="D48" s="2"/>
      <c r="E48" s="2"/>
      <c r="F48" s="119"/>
      <c r="G48" s="106"/>
      <c r="H48" s="106"/>
      <c r="I48" s="106"/>
      <c r="J48" s="106"/>
      <c r="K48" s="107"/>
    </row>
    <row r="49" spans="1:11" ht="13.8">
      <c r="A49" s="2"/>
      <c r="B49" s="2"/>
      <c r="C49" s="2"/>
      <c r="D49" s="2"/>
      <c r="E49" s="2"/>
      <c r="F49" s="119"/>
      <c r="G49" s="106"/>
      <c r="H49" s="106"/>
      <c r="I49" s="106"/>
      <c r="J49" s="106"/>
      <c r="K49" s="107"/>
    </row>
    <row r="50" spans="1:11" ht="13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6">
      <c r="A51" s="35" t="s">
        <v>97</v>
      </c>
      <c r="B51" s="113" t="s">
        <v>98</v>
      </c>
      <c r="C51" s="106"/>
      <c r="D51" s="106"/>
      <c r="E51" s="106"/>
      <c r="F51" s="106"/>
      <c r="G51" s="106"/>
      <c r="H51" s="106"/>
      <c r="I51" s="106"/>
      <c r="J51" s="106"/>
      <c r="K51" s="107"/>
    </row>
    <row r="52" spans="1:11" ht="13.8">
      <c r="A52" s="55" t="s">
        <v>100</v>
      </c>
      <c r="B52" s="120" t="s">
        <v>101</v>
      </c>
      <c r="C52" s="106"/>
      <c r="D52" s="106"/>
      <c r="E52" s="107"/>
      <c r="F52" s="120" t="s">
        <v>102</v>
      </c>
      <c r="G52" s="106"/>
      <c r="H52" s="107"/>
      <c r="I52" s="120" t="s">
        <v>103</v>
      </c>
      <c r="J52" s="107"/>
      <c r="K52" s="55"/>
    </row>
    <row r="53" spans="1:11" ht="13.8">
      <c r="A53" s="56" t="s">
        <v>104</v>
      </c>
      <c r="B53" s="121" t="s">
        <v>105</v>
      </c>
      <c r="C53" s="122"/>
      <c r="D53" s="122"/>
      <c r="E53" s="123"/>
      <c r="F53" s="124" t="s">
        <v>106</v>
      </c>
      <c r="G53" s="122"/>
      <c r="H53" s="123"/>
      <c r="I53" s="125"/>
      <c r="J53" s="123"/>
      <c r="K53" s="57"/>
    </row>
    <row r="54" spans="1:11" ht="13.8">
      <c r="A54" s="56" t="s">
        <v>108</v>
      </c>
      <c r="B54" s="121" t="s">
        <v>109</v>
      </c>
      <c r="C54" s="122"/>
      <c r="D54" s="122"/>
      <c r="E54" s="123"/>
      <c r="F54" s="124" t="s">
        <v>110</v>
      </c>
      <c r="G54" s="122"/>
      <c r="H54" s="123"/>
      <c r="I54" s="125"/>
      <c r="J54" s="123"/>
      <c r="K54" s="57"/>
    </row>
    <row r="55" spans="1:11" ht="13.8">
      <c r="A55" s="56" t="s">
        <v>111</v>
      </c>
      <c r="B55" s="121" t="s">
        <v>112</v>
      </c>
      <c r="C55" s="122"/>
      <c r="D55" s="122"/>
      <c r="E55" s="123"/>
      <c r="F55" s="124" t="s">
        <v>113</v>
      </c>
      <c r="G55" s="122"/>
      <c r="H55" s="123"/>
      <c r="I55" s="125"/>
      <c r="J55" s="123"/>
      <c r="K55" s="57"/>
    </row>
    <row r="56" spans="1:11" ht="13.8">
      <c r="A56" s="56" t="s">
        <v>114</v>
      </c>
      <c r="B56" s="121" t="s">
        <v>116</v>
      </c>
      <c r="C56" s="122"/>
      <c r="D56" s="122"/>
      <c r="E56" s="123"/>
      <c r="F56" s="124" t="s">
        <v>118</v>
      </c>
      <c r="G56" s="122"/>
      <c r="H56" s="123"/>
      <c r="I56" s="125"/>
      <c r="J56" s="123"/>
      <c r="K56" s="57"/>
    </row>
    <row r="57" spans="1:11" ht="13.8">
      <c r="A57" s="56" t="s">
        <v>53</v>
      </c>
      <c r="B57" s="121" t="s">
        <v>119</v>
      </c>
      <c r="C57" s="122"/>
      <c r="D57" s="122"/>
      <c r="E57" s="123"/>
      <c r="F57" s="124" t="s">
        <v>120</v>
      </c>
      <c r="G57" s="122"/>
      <c r="H57" s="123"/>
      <c r="I57" s="125"/>
      <c r="J57" s="123"/>
      <c r="K57" s="57"/>
    </row>
    <row r="58" spans="1:11" ht="13.8">
      <c r="A58" s="56" t="s">
        <v>121</v>
      </c>
      <c r="B58" s="121" t="s">
        <v>122</v>
      </c>
      <c r="C58" s="122"/>
      <c r="D58" s="122"/>
      <c r="E58" s="123"/>
      <c r="F58" s="124" t="s">
        <v>123</v>
      </c>
      <c r="G58" s="122"/>
      <c r="H58" s="123"/>
      <c r="I58" s="125"/>
      <c r="J58" s="123"/>
      <c r="K58" s="57"/>
    </row>
    <row r="59" spans="1:11" ht="13.8">
      <c r="A59" s="2"/>
      <c r="B59" s="2"/>
      <c r="C59" s="2"/>
      <c r="D59" s="2"/>
      <c r="E59" s="2"/>
      <c r="F59" s="2"/>
      <c r="G59" s="2"/>
      <c r="H59" s="2"/>
      <c r="I59" s="2"/>
      <c r="J59" s="2"/>
      <c r="K59" s="58"/>
    </row>
    <row r="60" spans="1:11" ht="15.6">
      <c r="A60" s="35" t="s">
        <v>124</v>
      </c>
      <c r="B60" s="113" t="s">
        <v>125</v>
      </c>
      <c r="C60" s="106"/>
      <c r="D60" s="106"/>
      <c r="E60" s="106"/>
      <c r="F60" s="106"/>
      <c r="G60" s="106"/>
      <c r="H60" s="106"/>
      <c r="I60" s="106"/>
      <c r="J60" s="106"/>
      <c r="K60" s="107"/>
    </row>
    <row r="61" spans="1:11" ht="13.8">
      <c r="A61" s="133" t="s">
        <v>126</v>
      </c>
      <c r="B61" s="104"/>
      <c r="C61" s="104"/>
      <c r="D61" s="104"/>
      <c r="E61" s="133" t="s">
        <v>127</v>
      </c>
      <c r="F61" s="104"/>
      <c r="G61" s="104"/>
      <c r="H61" s="104"/>
      <c r="I61" s="133" t="s">
        <v>128</v>
      </c>
      <c r="J61" s="104"/>
      <c r="K61" s="104"/>
    </row>
    <row r="62" spans="1:11" ht="15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</row>
    <row r="63" spans="1:11" ht="13.8">
      <c r="A63" s="103" t="s">
        <v>129</v>
      </c>
      <c r="B63" s="104"/>
      <c r="C63" s="104"/>
      <c r="D63" s="134"/>
      <c r="E63" s="128"/>
      <c r="F63" s="128"/>
      <c r="G63" s="128"/>
      <c r="H63" s="128"/>
      <c r="I63" s="128"/>
      <c r="J63" s="128"/>
      <c r="K63" s="129"/>
    </row>
    <row r="64" spans="1:11" ht="13.8">
      <c r="A64" s="2"/>
      <c r="B64" s="2"/>
      <c r="C64" s="2"/>
      <c r="D64" s="135"/>
      <c r="E64" s="104"/>
      <c r="F64" s="104"/>
      <c r="G64" s="104"/>
      <c r="H64" s="104"/>
      <c r="I64" s="104"/>
      <c r="J64" s="104"/>
      <c r="K64" s="136"/>
    </row>
    <row r="65" spans="1:11" ht="13.8">
      <c r="A65" s="2"/>
      <c r="B65" s="2"/>
      <c r="C65" s="2"/>
      <c r="D65" s="130"/>
      <c r="E65" s="131"/>
      <c r="F65" s="131"/>
      <c r="G65" s="131"/>
      <c r="H65" s="131"/>
      <c r="I65" s="131"/>
      <c r="J65" s="131"/>
      <c r="K65" s="132"/>
    </row>
    <row r="67" spans="1:11" ht="13.8">
      <c r="A67" s="127" t="s">
        <v>130</v>
      </c>
      <c r="B67" s="128"/>
      <c r="C67" s="128"/>
      <c r="D67" s="129"/>
      <c r="E67" s="127" t="s">
        <v>131</v>
      </c>
      <c r="F67" s="128"/>
      <c r="G67" s="128"/>
      <c r="H67" s="129"/>
      <c r="I67" s="127" t="s">
        <v>132</v>
      </c>
      <c r="J67" s="128"/>
      <c r="K67" s="129"/>
    </row>
    <row r="68" spans="1:11" ht="13.8">
      <c r="A68" s="130"/>
      <c r="B68" s="131"/>
      <c r="C68" s="131"/>
      <c r="D68" s="132"/>
      <c r="E68" s="130"/>
      <c r="F68" s="131"/>
      <c r="G68" s="131"/>
      <c r="H68" s="132"/>
      <c r="I68" s="130"/>
      <c r="J68" s="131"/>
      <c r="K68" s="132"/>
    </row>
  </sheetData>
  <mergeCells count="126">
    <mergeCell ref="E67:H68"/>
    <mergeCell ref="I67:K68"/>
    <mergeCell ref="B58:E58"/>
    <mergeCell ref="A61:D62"/>
    <mergeCell ref="E61:H62"/>
    <mergeCell ref="I61:K62"/>
    <mergeCell ref="A63:C63"/>
    <mergeCell ref="D63:K65"/>
    <mergeCell ref="A67:D68"/>
    <mergeCell ref="A31:F31"/>
    <mergeCell ref="A32:F32"/>
    <mergeCell ref="A33:F33"/>
    <mergeCell ref="B35:K35"/>
    <mergeCell ref="A36:C36"/>
    <mergeCell ref="F36:I36"/>
    <mergeCell ref="J36:K36"/>
    <mergeCell ref="F37:H37"/>
    <mergeCell ref="J37:K37"/>
    <mergeCell ref="A25:D25"/>
    <mergeCell ref="H25:I25"/>
    <mergeCell ref="A26:D26"/>
    <mergeCell ref="H26:I26"/>
    <mergeCell ref="A27:D27"/>
    <mergeCell ref="H27:I27"/>
    <mergeCell ref="H28:I28"/>
    <mergeCell ref="H29:I29"/>
    <mergeCell ref="A28:D28"/>
    <mergeCell ref="A29:D29"/>
    <mergeCell ref="H23:I23"/>
    <mergeCell ref="H24:I24"/>
    <mergeCell ref="A19:D19"/>
    <mergeCell ref="A20:D20"/>
    <mergeCell ref="A21:D21"/>
    <mergeCell ref="A22:D22"/>
    <mergeCell ref="H22:I22"/>
    <mergeCell ref="A23:D23"/>
    <mergeCell ref="A24:D24"/>
    <mergeCell ref="F58:H58"/>
    <mergeCell ref="I58:J58"/>
    <mergeCell ref="B56:E56"/>
    <mergeCell ref="F56:H56"/>
    <mergeCell ref="I56:J56"/>
    <mergeCell ref="B57:E57"/>
    <mergeCell ref="F57:H57"/>
    <mergeCell ref="I57:J57"/>
    <mergeCell ref="B60:K60"/>
    <mergeCell ref="F53:H53"/>
    <mergeCell ref="I53:J53"/>
    <mergeCell ref="B53:E53"/>
    <mergeCell ref="B54:E54"/>
    <mergeCell ref="F54:H54"/>
    <mergeCell ref="I54:J54"/>
    <mergeCell ref="B55:E55"/>
    <mergeCell ref="F55:H55"/>
    <mergeCell ref="I55:J55"/>
    <mergeCell ref="A47:C47"/>
    <mergeCell ref="D47:E47"/>
    <mergeCell ref="F47:K47"/>
    <mergeCell ref="F48:K48"/>
    <mergeCell ref="F49:K49"/>
    <mergeCell ref="B51:K51"/>
    <mergeCell ref="B52:E52"/>
    <mergeCell ref="F52:H52"/>
    <mergeCell ref="I52:J52"/>
    <mergeCell ref="A41:C41"/>
    <mergeCell ref="F41:K41"/>
    <mergeCell ref="F42:H42"/>
    <mergeCell ref="I42:J42"/>
    <mergeCell ref="F43:H43"/>
    <mergeCell ref="I43:J43"/>
    <mergeCell ref="B45:K45"/>
    <mergeCell ref="A46:B46"/>
    <mergeCell ref="C46:E46"/>
    <mergeCell ref="F46:K46"/>
    <mergeCell ref="J39:K39"/>
    <mergeCell ref="J40:K40"/>
    <mergeCell ref="A38:C38"/>
    <mergeCell ref="A39:C39"/>
    <mergeCell ref="D39:E39"/>
    <mergeCell ref="F39:H39"/>
    <mergeCell ref="A40:C40"/>
    <mergeCell ref="D40:E40"/>
    <mergeCell ref="F40:H40"/>
    <mergeCell ref="D38:E38"/>
    <mergeCell ref="F38:H38"/>
    <mergeCell ref="J38:K38"/>
    <mergeCell ref="C12:F12"/>
    <mergeCell ref="G12:H12"/>
    <mergeCell ref="I12:K12"/>
    <mergeCell ref="C13:F13"/>
    <mergeCell ref="G13:H13"/>
    <mergeCell ref="I13:K13"/>
    <mergeCell ref="J15:K15"/>
    <mergeCell ref="H20:I20"/>
    <mergeCell ref="H21:I21"/>
    <mergeCell ref="A16:D16"/>
    <mergeCell ref="H16:I16"/>
    <mergeCell ref="A17:D17"/>
    <mergeCell ref="H17:I17"/>
    <mergeCell ref="A18:D18"/>
    <mergeCell ref="H18:I18"/>
    <mergeCell ref="H19:I19"/>
    <mergeCell ref="J5:K5"/>
    <mergeCell ref="J6:K6"/>
    <mergeCell ref="A1:C6"/>
    <mergeCell ref="A9:B9"/>
    <mergeCell ref="A10:B10"/>
    <mergeCell ref="A11:B11"/>
    <mergeCell ref="A12:B12"/>
    <mergeCell ref="A13:B13"/>
    <mergeCell ref="D1:I4"/>
    <mergeCell ref="J1:K1"/>
    <mergeCell ref="J2:K2"/>
    <mergeCell ref="J3:K3"/>
    <mergeCell ref="J4:K4"/>
    <mergeCell ref="D5:I6"/>
    <mergeCell ref="A8:K8"/>
    <mergeCell ref="G11:H11"/>
    <mergeCell ref="I11:K11"/>
    <mergeCell ref="C9:F9"/>
    <mergeCell ref="G9:H9"/>
    <mergeCell ref="I9:K9"/>
    <mergeCell ref="C10:F10"/>
    <mergeCell ref="G10:H10"/>
    <mergeCell ref="I10:K10"/>
    <mergeCell ref="C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61"/>
  <sheetViews>
    <sheetView workbookViewId="0"/>
  </sheetViews>
  <sheetFormatPr defaultColWidth="12.59765625" defaultRowHeight="15" customHeight="1"/>
  <cols>
    <col min="2" max="2" width="9.09765625" customWidth="1"/>
    <col min="4" max="4" width="2" customWidth="1"/>
    <col min="6" max="6" width="13" customWidth="1"/>
    <col min="7" max="7" width="27.59765625" customWidth="1"/>
    <col min="8" max="8" width="10.09765625" customWidth="1"/>
    <col min="9" max="9" width="4.69921875" customWidth="1"/>
    <col min="11" max="11" width="6.69921875" customWidth="1"/>
  </cols>
  <sheetData>
    <row r="1" spans="1:11" ht="13.8">
      <c r="A1" s="151" t="s">
        <v>0</v>
      </c>
      <c r="B1" s="128"/>
      <c r="C1" s="129"/>
      <c r="D1" s="139" t="s">
        <v>1</v>
      </c>
      <c r="E1" s="128"/>
      <c r="F1" s="128"/>
      <c r="G1" s="128"/>
      <c r="H1" s="128"/>
      <c r="I1" s="129"/>
      <c r="J1" s="137"/>
      <c r="K1" s="107"/>
    </row>
    <row r="2" spans="1:11" ht="13.8">
      <c r="A2" s="135"/>
      <c r="B2" s="104"/>
      <c r="C2" s="136"/>
      <c r="D2" s="135"/>
      <c r="E2" s="104"/>
      <c r="F2" s="104"/>
      <c r="G2" s="104"/>
      <c r="H2" s="104"/>
      <c r="I2" s="136"/>
      <c r="J2" s="140"/>
      <c r="K2" s="107"/>
    </row>
    <row r="3" spans="1:11" ht="13.8">
      <c r="A3" s="135"/>
      <c r="B3" s="104"/>
      <c r="C3" s="136"/>
      <c r="D3" s="135"/>
      <c r="E3" s="104"/>
      <c r="F3" s="104"/>
      <c r="G3" s="104"/>
      <c r="H3" s="104"/>
      <c r="I3" s="136"/>
      <c r="J3" s="137" t="s">
        <v>2</v>
      </c>
      <c r="K3" s="107"/>
    </row>
    <row r="4" spans="1:11" ht="13.8">
      <c r="A4" s="135"/>
      <c r="B4" s="104"/>
      <c r="C4" s="136"/>
      <c r="D4" s="130"/>
      <c r="E4" s="131"/>
      <c r="F4" s="131"/>
      <c r="G4" s="131"/>
      <c r="H4" s="131"/>
      <c r="I4" s="132"/>
      <c r="J4" s="141" t="s">
        <v>3</v>
      </c>
      <c r="K4" s="107"/>
    </row>
    <row r="5" spans="1:11" ht="13.8">
      <c r="A5" s="135"/>
      <c r="B5" s="104"/>
      <c r="C5" s="136"/>
      <c r="D5" s="142" t="s">
        <v>4</v>
      </c>
      <c r="E5" s="128"/>
      <c r="F5" s="128"/>
      <c r="G5" s="128"/>
      <c r="H5" s="128"/>
      <c r="I5" s="129"/>
      <c r="J5" s="137" t="s">
        <v>5</v>
      </c>
      <c r="K5" s="107"/>
    </row>
    <row r="6" spans="1:11" ht="13.8">
      <c r="A6" s="130"/>
      <c r="B6" s="131"/>
      <c r="C6" s="132"/>
      <c r="D6" s="130"/>
      <c r="E6" s="131"/>
      <c r="F6" s="131"/>
      <c r="G6" s="131"/>
      <c r="H6" s="131"/>
      <c r="I6" s="132"/>
      <c r="J6" s="138" t="s">
        <v>6</v>
      </c>
      <c r="K6" s="107"/>
    </row>
    <row r="8" spans="1:11" ht="13.8">
      <c r="A8" s="113" t="s">
        <v>7</v>
      </c>
      <c r="B8" s="106"/>
      <c r="C8" s="106"/>
      <c r="D8" s="106"/>
      <c r="E8" s="106"/>
      <c r="F8" s="106"/>
      <c r="G8" s="106"/>
      <c r="H8" s="106"/>
      <c r="I8" s="106"/>
      <c r="J8" s="106"/>
      <c r="K8" s="107"/>
    </row>
    <row r="9" spans="1:11" ht="13.8">
      <c r="A9" s="143" t="s">
        <v>12</v>
      </c>
      <c r="B9" s="107"/>
      <c r="C9" s="147" t="s">
        <v>133</v>
      </c>
      <c r="D9" s="106"/>
      <c r="E9" s="106"/>
      <c r="F9" s="107"/>
      <c r="G9" s="143"/>
      <c r="H9" s="107"/>
      <c r="I9" s="150"/>
      <c r="J9" s="106"/>
      <c r="K9" s="107"/>
    </row>
    <row r="10" spans="1:11" ht="15.6">
      <c r="A10" s="143" t="s">
        <v>134</v>
      </c>
      <c r="B10" s="107"/>
      <c r="C10" s="165"/>
      <c r="D10" s="106"/>
      <c r="E10" s="106"/>
      <c r="F10" s="107"/>
      <c r="G10" s="143"/>
      <c r="H10" s="107"/>
      <c r="I10" s="150"/>
      <c r="J10" s="106"/>
      <c r="K10" s="107"/>
    </row>
    <row r="11" spans="1:11" ht="16.8">
      <c r="A11" s="143" t="s">
        <v>17</v>
      </c>
      <c r="B11" s="107"/>
      <c r="C11" s="147"/>
      <c r="D11" s="106"/>
      <c r="E11" s="106"/>
      <c r="F11" s="107"/>
      <c r="G11" s="143" t="s">
        <v>18</v>
      </c>
      <c r="H11" s="107"/>
      <c r="I11" s="166">
        <f>G26</f>
        <v>44358.25</v>
      </c>
      <c r="J11" s="106"/>
      <c r="K11" s="107"/>
    </row>
    <row r="12" spans="1:11" ht="13.8">
      <c r="A12" s="143" t="s">
        <v>19</v>
      </c>
      <c r="B12" s="107"/>
      <c r="C12" s="147"/>
      <c r="D12" s="106"/>
      <c r="E12" s="106"/>
      <c r="F12" s="107"/>
      <c r="G12" s="143" t="s">
        <v>23</v>
      </c>
      <c r="H12" s="107"/>
      <c r="I12" s="148" t="s">
        <v>24</v>
      </c>
      <c r="J12" s="106"/>
      <c r="K12" s="107"/>
    </row>
    <row r="13" spans="1:11" ht="13.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3.8">
      <c r="A14" s="3" t="s">
        <v>25</v>
      </c>
      <c r="B14" s="3"/>
      <c r="J14" s="104"/>
      <c r="K14" s="104"/>
    </row>
    <row r="15" spans="1:11" ht="31.2">
      <c r="A15" s="156" t="s">
        <v>26</v>
      </c>
      <c r="B15" s="106"/>
      <c r="C15" s="106"/>
      <c r="D15" s="107"/>
      <c r="E15" s="5" t="s">
        <v>27</v>
      </c>
      <c r="F15" s="5" t="s">
        <v>28</v>
      </c>
      <c r="G15" s="5" t="s">
        <v>29</v>
      </c>
      <c r="H15" s="156" t="s">
        <v>19</v>
      </c>
      <c r="I15" s="107"/>
      <c r="J15" s="6"/>
      <c r="K15" s="6"/>
    </row>
    <row r="16" spans="1:11" ht="21" customHeight="1">
      <c r="A16" s="159" t="s">
        <v>142</v>
      </c>
      <c r="B16" s="122"/>
      <c r="C16" s="122"/>
      <c r="D16" s="123"/>
      <c r="E16" s="11">
        <v>52</v>
      </c>
      <c r="F16" s="14">
        <v>55</v>
      </c>
      <c r="G16" s="17">
        <f t="shared" ref="G16:G19" si="0">F16*E16</f>
        <v>2860</v>
      </c>
      <c r="H16" s="167" t="s">
        <v>145</v>
      </c>
      <c r="I16" s="123"/>
      <c r="J16" s="6"/>
      <c r="K16" s="64"/>
    </row>
    <row r="17" spans="1:11" ht="15.6">
      <c r="A17" s="168" t="s">
        <v>147</v>
      </c>
      <c r="B17" s="122"/>
      <c r="C17" s="122"/>
      <c r="D17" s="123"/>
      <c r="E17" s="8">
        <v>13</v>
      </c>
      <c r="F17" s="66">
        <v>1625</v>
      </c>
      <c r="G17" s="17">
        <f t="shared" si="0"/>
        <v>21125</v>
      </c>
      <c r="H17" s="167" t="s">
        <v>20</v>
      </c>
      <c r="I17" s="123"/>
      <c r="J17" s="18"/>
      <c r="K17" s="18"/>
    </row>
    <row r="18" spans="1:11" ht="15.6">
      <c r="A18" s="168" t="s">
        <v>149</v>
      </c>
      <c r="B18" s="122"/>
      <c r="C18" s="122"/>
      <c r="D18" s="123"/>
      <c r="E18" s="8">
        <v>8</v>
      </c>
      <c r="F18" s="66">
        <v>1437.5</v>
      </c>
      <c r="G18" s="17">
        <f t="shared" si="0"/>
        <v>11500</v>
      </c>
      <c r="H18" s="167" t="s">
        <v>150</v>
      </c>
      <c r="I18" s="123"/>
      <c r="J18" s="18"/>
      <c r="K18" s="18"/>
    </row>
    <row r="19" spans="1:11" ht="15.6">
      <c r="A19" s="168" t="s">
        <v>151</v>
      </c>
      <c r="B19" s="122"/>
      <c r="C19" s="122"/>
      <c r="D19" s="123"/>
      <c r="E19" s="8">
        <v>1160</v>
      </c>
      <c r="F19" s="66">
        <v>5.5</v>
      </c>
      <c r="G19" s="17">
        <f t="shared" si="0"/>
        <v>6380</v>
      </c>
      <c r="H19" s="167" t="s">
        <v>150</v>
      </c>
      <c r="I19" s="123"/>
      <c r="J19" s="18"/>
      <c r="K19" s="18"/>
    </row>
    <row r="20" spans="1:11" ht="15.6">
      <c r="A20" s="168"/>
      <c r="B20" s="122"/>
      <c r="C20" s="122"/>
      <c r="D20" s="123"/>
      <c r="E20" s="8"/>
      <c r="F20" s="66"/>
      <c r="G20" s="69"/>
      <c r="H20" s="167"/>
      <c r="I20" s="123"/>
      <c r="J20" s="18"/>
      <c r="K20" s="18"/>
    </row>
    <row r="21" spans="1:11" ht="15.6">
      <c r="A21" s="168"/>
      <c r="B21" s="122"/>
      <c r="C21" s="122"/>
      <c r="D21" s="123"/>
      <c r="E21" s="8"/>
      <c r="F21" s="66"/>
      <c r="G21" s="69"/>
      <c r="H21" s="167"/>
      <c r="I21" s="123"/>
      <c r="J21" s="18"/>
      <c r="K21" s="18"/>
    </row>
    <row r="22" spans="1:11" ht="13.8">
      <c r="A22" s="164"/>
      <c r="B22" s="122"/>
      <c r="C22" s="122"/>
      <c r="D22" s="123"/>
      <c r="E22" s="72"/>
      <c r="F22" s="72"/>
      <c r="G22" s="73"/>
      <c r="H22" s="169"/>
      <c r="I22" s="123"/>
      <c r="J22" s="2"/>
      <c r="K22" s="2"/>
    </row>
    <row r="23" spans="1:11" ht="15.6">
      <c r="A23" s="20"/>
      <c r="B23" s="20"/>
      <c r="C23" s="20"/>
      <c r="D23" s="20"/>
      <c r="E23" s="20"/>
      <c r="F23" s="46" t="s">
        <v>68</v>
      </c>
      <c r="G23" s="30">
        <f>SUM(G16:G22)</f>
        <v>41865</v>
      </c>
      <c r="H23" s="23"/>
      <c r="I23" s="2"/>
      <c r="J23" s="2"/>
      <c r="K23" s="2"/>
    </row>
    <row r="24" spans="1:11" ht="15.6">
      <c r="A24" s="111" t="s">
        <v>41</v>
      </c>
      <c r="B24" s="106"/>
      <c r="C24" s="106"/>
      <c r="D24" s="106"/>
      <c r="E24" s="106"/>
      <c r="F24" s="107"/>
      <c r="G24" s="30">
        <f>G23*1.05</f>
        <v>43958.25</v>
      </c>
      <c r="H24" s="23"/>
      <c r="I24" s="2"/>
      <c r="J24" s="2"/>
      <c r="K24" s="2"/>
    </row>
    <row r="25" spans="1:11" ht="15.6">
      <c r="A25" s="111" t="s">
        <v>46</v>
      </c>
      <c r="B25" s="106"/>
      <c r="C25" s="106"/>
      <c r="D25" s="106"/>
      <c r="E25" s="106"/>
      <c r="F25" s="107"/>
      <c r="G25" s="32">
        <v>400</v>
      </c>
      <c r="H25" s="23"/>
      <c r="I25" s="2"/>
      <c r="J25" s="2"/>
      <c r="K25" s="2"/>
    </row>
    <row r="26" spans="1:11" ht="15.6">
      <c r="A26" s="111" t="s">
        <v>48</v>
      </c>
      <c r="B26" s="106"/>
      <c r="C26" s="106"/>
      <c r="D26" s="106"/>
      <c r="E26" s="106"/>
      <c r="F26" s="107"/>
      <c r="G26" s="30">
        <f>G24+G25</f>
        <v>44358.25</v>
      </c>
      <c r="H26" s="23"/>
      <c r="I26" s="2"/>
      <c r="J26" s="2"/>
      <c r="K26" s="2"/>
    </row>
    <row r="27" spans="1:11" ht="13.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6">
      <c r="A28" s="35" t="s">
        <v>53</v>
      </c>
      <c r="B28" s="113" t="s">
        <v>54</v>
      </c>
      <c r="C28" s="106"/>
      <c r="D28" s="106"/>
      <c r="E28" s="106"/>
      <c r="F28" s="106"/>
      <c r="G28" s="106"/>
      <c r="H28" s="106"/>
      <c r="I28" s="106"/>
      <c r="J28" s="106"/>
      <c r="K28" s="107"/>
    </row>
    <row r="29" spans="1:11" ht="13.8">
      <c r="A29" s="103" t="s">
        <v>56</v>
      </c>
      <c r="B29" s="104"/>
      <c r="C29" s="104"/>
      <c r="D29" s="38">
        <v>5</v>
      </c>
      <c r="E29" s="2" t="s">
        <v>58</v>
      </c>
      <c r="F29" s="103" t="s">
        <v>59</v>
      </c>
      <c r="G29" s="104"/>
      <c r="H29" s="104"/>
      <c r="I29" s="104"/>
      <c r="J29" s="103" t="s">
        <v>60</v>
      </c>
      <c r="K29" s="104"/>
    </row>
    <row r="30" spans="1:11" ht="13.8">
      <c r="A30" s="2"/>
      <c r="B30" s="2"/>
      <c r="C30" s="2"/>
      <c r="D30" s="2"/>
      <c r="E30" s="2"/>
      <c r="F30" s="103" t="s">
        <v>61</v>
      </c>
      <c r="G30" s="104"/>
      <c r="H30" s="104"/>
      <c r="I30" s="42"/>
      <c r="J30" s="109" t="s">
        <v>63</v>
      </c>
      <c r="K30" s="104"/>
    </row>
    <row r="31" spans="1:11" ht="13.8">
      <c r="A31" s="105" t="s">
        <v>64</v>
      </c>
      <c r="B31" s="106"/>
      <c r="C31" s="107"/>
      <c r="D31" s="103" t="s">
        <v>66</v>
      </c>
      <c r="E31" s="104"/>
      <c r="F31" s="108" t="s">
        <v>161</v>
      </c>
      <c r="G31" s="104"/>
      <c r="H31" s="104"/>
      <c r="I31" s="42"/>
      <c r="J31" s="103" t="s">
        <v>69</v>
      </c>
      <c r="K31" s="104"/>
    </row>
    <row r="32" spans="1:11" ht="13.8">
      <c r="A32" s="109" t="s">
        <v>70</v>
      </c>
      <c r="B32" s="104"/>
      <c r="C32" s="104"/>
      <c r="D32" s="103" t="s">
        <v>72</v>
      </c>
      <c r="E32" s="104"/>
      <c r="F32" s="110" t="s">
        <v>73</v>
      </c>
      <c r="G32" s="104"/>
      <c r="H32" s="104"/>
      <c r="I32" s="42"/>
      <c r="J32" s="105" t="s">
        <v>74</v>
      </c>
      <c r="K32" s="107"/>
    </row>
    <row r="33" spans="1:11" ht="13.8">
      <c r="A33" s="103" t="s">
        <v>75</v>
      </c>
      <c r="B33" s="104"/>
      <c r="C33" s="104"/>
      <c r="D33" s="103" t="s">
        <v>76</v>
      </c>
      <c r="E33" s="104"/>
      <c r="F33" s="103" t="s">
        <v>77</v>
      </c>
      <c r="G33" s="104"/>
      <c r="H33" s="104"/>
      <c r="I33" s="42"/>
      <c r="J33" s="103" t="s">
        <v>78</v>
      </c>
      <c r="K33" s="104"/>
    </row>
    <row r="34" spans="1:11" ht="13.8">
      <c r="A34" s="103" t="s">
        <v>79</v>
      </c>
      <c r="B34" s="104"/>
      <c r="C34" s="104"/>
      <c r="D34" s="2"/>
      <c r="E34" s="2"/>
      <c r="F34" s="114" t="s">
        <v>80</v>
      </c>
      <c r="G34" s="106"/>
      <c r="H34" s="106"/>
      <c r="I34" s="106"/>
      <c r="J34" s="106"/>
      <c r="K34" s="107"/>
    </row>
    <row r="35" spans="1:11" ht="13.8">
      <c r="A35" s="2"/>
      <c r="B35" s="2"/>
      <c r="C35" s="2"/>
      <c r="D35" s="2"/>
      <c r="E35" s="2"/>
      <c r="F35" s="115" t="s">
        <v>81</v>
      </c>
      <c r="G35" s="104"/>
      <c r="H35" s="104"/>
      <c r="I35" s="115" t="s">
        <v>83</v>
      </c>
      <c r="J35" s="104"/>
      <c r="K35" s="50"/>
    </row>
    <row r="36" spans="1:11" ht="16.8">
      <c r="A36" s="2"/>
      <c r="B36" s="2"/>
      <c r="C36" s="2"/>
      <c r="D36" s="2"/>
      <c r="E36" s="2"/>
      <c r="F36" s="153">
        <v>90000</v>
      </c>
      <c r="G36" s="106"/>
      <c r="H36" s="107"/>
      <c r="I36" s="170"/>
      <c r="J36" s="107"/>
      <c r="K36" s="51"/>
    </row>
    <row r="37" spans="1:11" ht="13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6">
      <c r="A38" s="35" t="s">
        <v>86</v>
      </c>
      <c r="B38" s="113" t="s">
        <v>87</v>
      </c>
      <c r="C38" s="106"/>
      <c r="D38" s="106"/>
      <c r="E38" s="106"/>
      <c r="F38" s="106"/>
      <c r="G38" s="106"/>
      <c r="H38" s="106"/>
      <c r="I38" s="106"/>
      <c r="J38" s="106"/>
      <c r="K38" s="107"/>
    </row>
    <row r="39" spans="1:11" ht="13.8">
      <c r="A39" s="103" t="s">
        <v>88</v>
      </c>
      <c r="B39" s="104"/>
      <c r="C39" s="108" t="s">
        <v>166</v>
      </c>
      <c r="D39" s="104"/>
      <c r="E39" s="104"/>
      <c r="F39" s="119"/>
      <c r="G39" s="106"/>
      <c r="H39" s="106"/>
      <c r="I39" s="106"/>
      <c r="J39" s="106"/>
      <c r="K39" s="107"/>
    </row>
    <row r="40" spans="1:11" ht="13.8">
      <c r="A40" s="103" t="s">
        <v>91</v>
      </c>
      <c r="B40" s="104"/>
      <c r="C40" s="104"/>
      <c r="D40" s="152" t="s">
        <v>92</v>
      </c>
      <c r="E40" s="107"/>
      <c r="F40" s="119"/>
      <c r="G40" s="106"/>
      <c r="H40" s="106"/>
      <c r="I40" s="106"/>
      <c r="J40" s="106"/>
      <c r="K40" s="107"/>
    </row>
    <row r="41" spans="1:11" ht="13.8">
      <c r="A41" s="2"/>
      <c r="B41" s="2"/>
      <c r="C41" s="2"/>
      <c r="D41" s="2"/>
      <c r="E41" s="2"/>
      <c r="F41" s="119"/>
      <c r="G41" s="106"/>
      <c r="H41" s="106"/>
      <c r="I41" s="106"/>
      <c r="J41" s="106"/>
      <c r="K41" s="107"/>
    </row>
    <row r="42" spans="1:11" ht="13.8">
      <c r="A42" s="2"/>
      <c r="B42" s="2"/>
      <c r="C42" s="2"/>
      <c r="D42" s="2"/>
      <c r="E42" s="2"/>
      <c r="F42" s="119"/>
      <c r="G42" s="106"/>
      <c r="H42" s="106"/>
      <c r="I42" s="106"/>
      <c r="J42" s="106"/>
      <c r="K42" s="107"/>
    </row>
    <row r="43" spans="1:11" ht="13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6">
      <c r="A44" s="35" t="s">
        <v>97</v>
      </c>
      <c r="B44" s="113" t="s">
        <v>98</v>
      </c>
      <c r="C44" s="106"/>
      <c r="D44" s="106"/>
      <c r="E44" s="106"/>
      <c r="F44" s="106"/>
      <c r="G44" s="106"/>
      <c r="H44" s="106"/>
      <c r="I44" s="106"/>
      <c r="J44" s="106"/>
      <c r="K44" s="107"/>
    </row>
    <row r="45" spans="1:11" ht="13.8">
      <c r="A45" s="55" t="s">
        <v>100</v>
      </c>
      <c r="B45" s="120" t="s">
        <v>101</v>
      </c>
      <c r="C45" s="106"/>
      <c r="D45" s="106"/>
      <c r="E45" s="107"/>
      <c r="F45" s="120" t="s">
        <v>102</v>
      </c>
      <c r="G45" s="106"/>
      <c r="H45" s="107"/>
      <c r="I45" s="120" t="s">
        <v>103</v>
      </c>
      <c r="J45" s="107"/>
      <c r="K45" s="55"/>
    </row>
    <row r="46" spans="1:11" ht="13.8">
      <c r="A46" s="56" t="s">
        <v>104</v>
      </c>
      <c r="B46" s="121" t="s">
        <v>105</v>
      </c>
      <c r="C46" s="122"/>
      <c r="D46" s="122"/>
      <c r="E46" s="123"/>
      <c r="F46" s="124" t="s">
        <v>106</v>
      </c>
      <c r="G46" s="122"/>
      <c r="H46" s="123"/>
      <c r="I46" s="125"/>
      <c r="J46" s="123"/>
      <c r="K46" s="57"/>
    </row>
    <row r="47" spans="1:11" ht="13.8">
      <c r="A47" s="56" t="s">
        <v>108</v>
      </c>
      <c r="B47" s="121" t="s">
        <v>109</v>
      </c>
      <c r="C47" s="122"/>
      <c r="D47" s="122"/>
      <c r="E47" s="123"/>
      <c r="F47" s="124" t="s">
        <v>110</v>
      </c>
      <c r="G47" s="122"/>
      <c r="H47" s="123"/>
      <c r="I47" s="125"/>
      <c r="J47" s="123"/>
      <c r="K47" s="57"/>
    </row>
    <row r="48" spans="1:11" ht="13.8">
      <c r="A48" s="56" t="s">
        <v>111</v>
      </c>
      <c r="B48" s="121" t="s">
        <v>112</v>
      </c>
      <c r="C48" s="122"/>
      <c r="D48" s="122"/>
      <c r="E48" s="123"/>
      <c r="F48" s="124" t="s">
        <v>113</v>
      </c>
      <c r="G48" s="122"/>
      <c r="H48" s="123"/>
      <c r="I48" s="125"/>
      <c r="J48" s="123"/>
      <c r="K48" s="57"/>
    </row>
    <row r="49" spans="1:11" ht="13.8">
      <c r="A49" s="56" t="s">
        <v>114</v>
      </c>
      <c r="B49" s="121" t="s">
        <v>116</v>
      </c>
      <c r="C49" s="122"/>
      <c r="D49" s="122"/>
      <c r="E49" s="123"/>
      <c r="F49" s="124" t="s">
        <v>118</v>
      </c>
      <c r="G49" s="122"/>
      <c r="H49" s="123"/>
      <c r="I49" s="125"/>
      <c r="J49" s="123"/>
      <c r="K49" s="57"/>
    </row>
    <row r="50" spans="1:11" ht="13.8">
      <c r="A50" s="56" t="s">
        <v>53</v>
      </c>
      <c r="B50" s="121" t="s">
        <v>119</v>
      </c>
      <c r="C50" s="122"/>
      <c r="D50" s="122"/>
      <c r="E50" s="123"/>
      <c r="F50" s="124" t="s">
        <v>120</v>
      </c>
      <c r="G50" s="122"/>
      <c r="H50" s="123"/>
      <c r="I50" s="125"/>
      <c r="J50" s="123"/>
      <c r="K50" s="57"/>
    </row>
    <row r="51" spans="1:11" ht="13.8">
      <c r="A51" s="56" t="s">
        <v>121</v>
      </c>
      <c r="B51" s="121" t="s">
        <v>122</v>
      </c>
      <c r="C51" s="122"/>
      <c r="D51" s="122"/>
      <c r="E51" s="123"/>
      <c r="F51" s="124" t="s">
        <v>123</v>
      </c>
      <c r="G51" s="122"/>
      <c r="H51" s="123"/>
      <c r="I51" s="125"/>
      <c r="J51" s="123"/>
      <c r="K51" s="57"/>
    </row>
    <row r="52" spans="1:11" ht="13.8">
      <c r="A52" s="2"/>
      <c r="B52" s="2"/>
      <c r="C52" s="2"/>
      <c r="D52" s="2"/>
      <c r="E52" s="2"/>
      <c r="F52" s="2"/>
      <c r="G52" s="2"/>
      <c r="H52" s="2"/>
      <c r="I52" s="2"/>
      <c r="J52" s="2"/>
      <c r="K52" s="58"/>
    </row>
    <row r="53" spans="1:11" ht="15.6">
      <c r="A53" s="35" t="s">
        <v>124</v>
      </c>
      <c r="B53" s="113" t="s">
        <v>125</v>
      </c>
      <c r="C53" s="106"/>
      <c r="D53" s="106"/>
      <c r="E53" s="106"/>
      <c r="F53" s="106"/>
      <c r="G53" s="106"/>
      <c r="H53" s="106"/>
      <c r="I53" s="106"/>
      <c r="J53" s="106"/>
      <c r="K53" s="107"/>
    </row>
    <row r="54" spans="1:11" ht="13.8">
      <c r="A54" s="133" t="s">
        <v>126</v>
      </c>
      <c r="B54" s="104"/>
      <c r="C54" s="104"/>
      <c r="D54" s="104"/>
      <c r="E54" s="133" t="s">
        <v>127</v>
      </c>
      <c r="F54" s="104"/>
      <c r="G54" s="104"/>
      <c r="H54" s="104"/>
      <c r="I54" s="133" t="s">
        <v>128</v>
      </c>
      <c r="J54" s="104"/>
      <c r="K54" s="104"/>
    </row>
    <row r="55" spans="1:11" ht="15" customHeight="1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</row>
    <row r="56" spans="1:11" ht="13.8">
      <c r="A56" s="103" t="s">
        <v>129</v>
      </c>
      <c r="B56" s="104"/>
      <c r="C56" s="104"/>
      <c r="D56" s="134"/>
      <c r="E56" s="128"/>
      <c r="F56" s="128"/>
      <c r="G56" s="128"/>
      <c r="H56" s="128"/>
      <c r="I56" s="128"/>
      <c r="J56" s="128"/>
      <c r="K56" s="129"/>
    </row>
    <row r="57" spans="1:11" ht="13.8">
      <c r="A57" s="2"/>
      <c r="B57" s="2"/>
      <c r="C57" s="2"/>
      <c r="D57" s="135"/>
      <c r="E57" s="104"/>
      <c r="F57" s="104"/>
      <c r="G57" s="104"/>
      <c r="H57" s="104"/>
      <c r="I57" s="104"/>
      <c r="J57" s="104"/>
      <c r="K57" s="136"/>
    </row>
    <row r="58" spans="1:11" ht="13.8">
      <c r="A58" s="2"/>
      <c r="B58" s="2"/>
      <c r="C58" s="2"/>
      <c r="D58" s="130"/>
      <c r="E58" s="131"/>
      <c r="F58" s="131"/>
      <c r="G58" s="131"/>
      <c r="H58" s="131"/>
      <c r="I58" s="131"/>
      <c r="J58" s="131"/>
      <c r="K58" s="132"/>
    </row>
    <row r="60" spans="1:11" ht="13.8">
      <c r="A60" s="127" t="s">
        <v>130</v>
      </c>
      <c r="B60" s="128"/>
      <c r="C60" s="128"/>
      <c r="D60" s="129"/>
      <c r="E60" s="127" t="s">
        <v>131</v>
      </c>
      <c r="F60" s="128"/>
      <c r="G60" s="128"/>
      <c r="H60" s="129"/>
      <c r="I60" s="127" t="s">
        <v>132</v>
      </c>
      <c r="J60" s="128"/>
      <c r="K60" s="129"/>
    </row>
    <row r="61" spans="1:11" ht="13.8">
      <c r="A61" s="130"/>
      <c r="B61" s="131"/>
      <c r="C61" s="131"/>
      <c r="D61" s="132"/>
      <c r="E61" s="130"/>
      <c r="F61" s="131"/>
      <c r="G61" s="131"/>
      <c r="H61" s="132"/>
      <c r="I61" s="130"/>
      <c r="J61" s="131"/>
      <c r="K61" s="132"/>
    </row>
  </sheetData>
  <mergeCells count="110">
    <mergeCell ref="B38:K38"/>
    <mergeCell ref="A39:B39"/>
    <mergeCell ref="C39:E39"/>
    <mergeCell ref="F39:K39"/>
    <mergeCell ref="F35:H35"/>
    <mergeCell ref="I35:J35"/>
    <mergeCell ref="F36:H36"/>
    <mergeCell ref="I36:J36"/>
    <mergeCell ref="A31:C31"/>
    <mergeCell ref="D31:E31"/>
    <mergeCell ref="F31:H31"/>
    <mergeCell ref="A32:C32"/>
    <mergeCell ref="D32:E32"/>
    <mergeCell ref="A33:C33"/>
    <mergeCell ref="A34:C34"/>
    <mergeCell ref="D33:E33"/>
    <mergeCell ref="F33:H33"/>
    <mergeCell ref="F34:K34"/>
    <mergeCell ref="A21:D21"/>
    <mergeCell ref="H21:I21"/>
    <mergeCell ref="A22:D22"/>
    <mergeCell ref="H22:I22"/>
    <mergeCell ref="J29:K29"/>
    <mergeCell ref="J30:K30"/>
    <mergeCell ref="J31:K31"/>
    <mergeCell ref="J32:K32"/>
    <mergeCell ref="J33:K33"/>
    <mergeCell ref="A24:F24"/>
    <mergeCell ref="A25:F25"/>
    <mergeCell ref="A26:F26"/>
    <mergeCell ref="B28:K28"/>
    <mergeCell ref="A29:C29"/>
    <mergeCell ref="F29:I29"/>
    <mergeCell ref="F30:H30"/>
    <mergeCell ref="F32:H32"/>
    <mergeCell ref="E60:H61"/>
    <mergeCell ref="I60:K61"/>
    <mergeCell ref="B51:E51"/>
    <mergeCell ref="A54:D55"/>
    <mergeCell ref="E54:H55"/>
    <mergeCell ref="I54:K55"/>
    <mergeCell ref="A56:C56"/>
    <mergeCell ref="D56:K58"/>
    <mergeCell ref="A60:D61"/>
    <mergeCell ref="F51:H51"/>
    <mergeCell ref="I51:J51"/>
    <mergeCell ref="B49:E49"/>
    <mergeCell ref="F49:H49"/>
    <mergeCell ref="I49:J49"/>
    <mergeCell ref="B50:E50"/>
    <mergeCell ref="F50:H50"/>
    <mergeCell ref="I50:J50"/>
    <mergeCell ref="B53:K53"/>
    <mergeCell ref="F48:H48"/>
    <mergeCell ref="I48:J48"/>
    <mergeCell ref="B46:E46"/>
    <mergeCell ref="F46:H46"/>
    <mergeCell ref="I46:J46"/>
    <mergeCell ref="B47:E47"/>
    <mergeCell ref="F47:H47"/>
    <mergeCell ref="I47:J47"/>
    <mergeCell ref="B48:E48"/>
    <mergeCell ref="G12:H12"/>
    <mergeCell ref="I12:K12"/>
    <mergeCell ref="J14:K14"/>
    <mergeCell ref="H19:I19"/>
    <mergeCell ref="H20:I20"/>
    <mergeCell ref="A19:D19"/>
    <mergeCell ref="F45:H45"/>
    <mergeCell ref="I45:J45"/>
    <mergeCell ref="A40:C40"/>
    <mergeCell ref="D40:E40"/>
    <mergeCell ref="F40:K40"/>
    <mergeCell ref="F41:K41"/>
    <mergeCell ref="F42:K42"/>
    <mergeCell ref="B44:K44"/>
    <mergeCell ref="B45:E45"/>
    <mergeCell ref="A15:D15"/>
    <mergeCell ref="H15:I15"/>
    <mergeCell ref="A16:D16"/>
    <mergeCell ref="H16:I16"/>
    <mergeCell ref="A17:D17"/>
    <mergeCell ref="H17:I17"/>
    <mergeCell ref="H18:I18"/>
    <mergeCell ref="A18:D18"/>
    <mergeCell ref="A20:D20"/>
    <mergeCell ref="J5:K5"/>
    <mergeCell ref="J6:K6"/>
    <mergeCell ref="A1:C6"/>
    <mergeCell ref="A9:B9"/>
    <mergeCell ref="A10:B10"/>
    <mergeCell ref="A11:B11"/>
    <mergeCell ref="A12:B12"/>
    <mergeCell ref="D1:I4"/>
    <mergeCell ref="J1:K1"/>
    <mergeCell ref="J2:K2"/>
    <mergeCell ref="J3:K3"/>
    <mergeCell ref="J4:K4"/>
    <mergeCell ref="D5:I6"/>
    <mergeCell ref="A8:K8"/>
    <mergeCell ref="G10:H10"/>
    <mergeCell ref="I10:K10"/>
    <mergeCell ref="C9:F9"/>
    <mergeCell ref="G9:H9"/>
    <mergeCell ref="I9:K9"/>
    <mergeCell ref="C10:F10"/>
    <mergeCell ref="C11:F11"/>
    <mergeCell ref="G11:H11"/>
    <mergeCell ref="I11:K11"/>
    <mergeCell ref="C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4"/>
  <sheetViews>
    <sheetView workbookViewId="0"/>
  </sheetViews>
  <sheetFormatPr defaultColWidth="12.59765625" defaultRowHeight="15" customHeight="1"/>
  <cols>
    <col min="1" max="1" width="15.69921875" customWidth="1"/>
    <col min="2" max="2" width="12.09765625" customWidth="1"/>
    <col min="3" max="3" width="8.8984375" customWidth="1"/>
    <col min="4" max="4" width="3.59765625" customWidth="1"/>
    <col min="5" max="5" width="5.09765625" customWidth="1"/>
    <col min="6" max="6" width="11.69921875" customWidth="1"/>
    <col min="7" max="7" width="10.5" customWidth="1"/>
    <col min="8" max="8" width="15.5" customWidth="1"/>
    <col min="9" max="9" width="4.69921875" customWidth="1"/>
    <col min="10" max="10" width="9.69921875" customWidth="1"/>
    <col min="11" max="11" width="7" customWidth="1"/>
    <col min="12" max="14" width="9" customWidth="1"/>
    <col min="15" max="15" width="3.09765625" customWidth="1"/>
    <col min="16" max="25" width="9" customWidth="1"/>
  </cols>
  <sheetData>
    <row r="1" spans="1:13" ht="7.5" customHeight="1"/>
    <row r="2" spans="1:13" ht="14.25" customHeight="1">
      <c r="A2" s="151" t="s">
        <v>0</v>
      </c>
      <c r="B2" s="128"/>
      <c r="C2" s="129"/>
      <c r="D2" s="139" t="s">
        <v>1</v>
      </c>
      <c r="E2" s="128"/>
      <c r="F2" s="128"/>
      <c r="G2" s="128"/>
      <c r="H2" s="128"/>
      <c r="I2" s="129"/>
      <c r="J2" s="137"/>
      <c r="K2" s="107"/>
    </row>
    <row r="3" spans="1:13" ht="14.25" customHeight="1">
      <c r="A3" s="135"/>
      <c r="B3" s="104"/>
      <c r="C3" s="136"/>
      <c r="D3" s="135"/>
      <c r="E3" s="104"/>
      <c r="F3" s="104"/>
      <c r="G3" s="104"/>
      <c r="H3" s="104"/>
      <c r="I3" s="136"/>
      <c r="J3" s="140"/>
      <c r="K3" s="107"/>
    </row>
    <row r="4" spans="1:13" ht="14.25" customHeight="1">
      <c r="A4" s="135"/>
      <c r="B4" s="104"/>
      <c r="C4" s="136"/>
      <c r="D4" s="135"/>
      <c r="E4" s="104"/>
      <c r="F4" s="104"/>
      <c r="G4" s="104"/>
      <c r="H4" s="104"/>
      <c r="I4" s="136"/>
      <c r="J4" s="137" t="s">
        <v>2</v>
      </c>
      <c r="K4" s="107"/>
    </row>
    <row r="5" spans="1:13" ht="14.25" customHeight="1">
      <c r="A5" s="135"/>
      <c r="B5" s="104"/>
      <c r="C5" s="136"/>
      <c r="D5" s="130"/>
      <c r="E5" s="131"/>
      <c r="F5" s="131"/>
      <c r="G5" s="131"/>
      <c r="H5" s="131"/>
      <c r="I5" s="132"/>
      <c r="J5" s="141" t="s">
        <v>3</v>
      </c>
      <c r="K5" s="107"/>
    </row>
    <row r="6" spans="1:13" ht="14.25" customHeight="1">
      <c r="A6" s="135"/>
      <c r="B6" s="104"/>
      <c r="C6" s="136"/>
      <c r="D6" s="142" t="s">
        <v>4</v>
      </c>
      <c r="E6" s="128"/>
      <c r="F6" s="128"/>
      <c r="G6" s="128"/>
      <c r="H6" s="128"/>
      <c r="I6" s="129"/>
      <c r="J6" s="137" t="s">
        <v>5</v>
      </c>
      <c r="K6" s="107"/>
    </row>
    <row r="7" spans="1:13" ht="14.25" customHeight="1">
      <c r="A7" s="130"/>
      <c r="B7" s="131"/>
      <c r="C7" s="132"/>
      <c r="D7" s="130"/>
      <c r="E7" s="131"/>
      <c r="F7" s="131"/>
      <c r="G7" s="131"/>
      <c r="H7" s="131"/>
      <c r="I7" s="132"/>
      <c r="J7" s="138"/>
      <c r="K7" s="107"/>
    </row>
    <row r="8" spans="1:13" ht="14.25" customHeight="1"/>
    <row r="9" spans="1:13" ht="22.5" customHeight="1">
      <c r="A9" s="113" t="s">
        <v>7</v>
      </c>
      <c r="B9" s="106"/>
      <c r="C9" s="106"/>
      <c r="D9" s="106"/>
      <c r="E9" s="106"/>
      <c r="F9" s="106"/>
      <c r="G9" s="106"/>
      <c r="H9" s="106"/>
      <c r="I9" s="106"/>
      <c r="J9" s="106"/>
      <c r="K9" s="107"/>
    </row>
    <row r="10" spans="1:13" ht="14.25" customHeight="1">
      <c r="A10" s="143" t="s">
        <v>8</v>
      </c>
      <c r="B10" s="107"/>
      <c r="C10" s="149" t="s">
        <v>136</v>
      </c>
      <c r="D10" s="106"/>
      <c r="E10" s="106"/>
      <c r="F10" s="107"/>
      <c r="G10" s="143"/>
      <c r="H10" s="107"/>
      <c r="I10" s="158"/>
      <c r="J10" s="106"/>
      <c r="K10" s="107"/>
    </row>
    <row r="11" spans="1:13" ht="14.25" customHeight="1">
      <c r="A11" s="143" t="s">
        <v>12</v>
      </c>
      <c r="B11" s="107"/>
      <c r="C11" s="149" t="s">
        <v>137</v>
      </c>
      <c r="D11" s="106"/>
      <c r="E11" s="106"/>
      <c r="F11" s="107"/>
      <c r="G11" s="143"/>
      <c r="H11" s="107"/>
      <c r="I11" s="150"/>
      <c r="J11" s="106"/>
      <c r="K11" s="107"/>
    </row>
    <row r="12" spans="1:13" ht="14.25" customHeight="1">
      <c r="A12" s="143" t="s">
        <v>14</v>
      </c>
      <c r="B12" s="107"/>
      <c r="C12" s="149"/>
      <c r="D12" s="106"/>
      <c r="E12" s="106"/>
      <c r="F12" s="107"/>
      <c r="G12" s="143"/>
      <c r="H12" s="107"/>
      <c r="I12" s="150"/>
      <c r="J12" s="106"/>
      <c r="K12" s="107"/>
    </row>
    <row r="13" spans="1:13" ht="14.25" customHeight="1">
      <c r="A13" s="143" t="s">
        <v>17</v>
      </c>
      <c r="B13" s="107"/>
      <c r="C13" s="147" t="s">
        <v>139</v>
      </c>
      <c r="D13" s="106"/>
      <c r="E13" s="106"/>
      <c r="F13" s="107"/>
      <c r="G13" s="143" t="s">
        <v>18</v>
      </c>
      <c r="H13" s="107"/>
      <c r="I13" s="144">
        <f>G29</f>
        <v>8487.5</v>
      </c>
      <c r="J13" s="106"/>
      <c r="K13" s="107"/>
    </row>
    <row r="14" spans="1:13" ht="14.25" customHeight="1">
      <c r="A14" s="143" t="s">
        <v>19</v>
      </c>
      <c r="B14" s="107"/>
      <c r="C14" s="147" t="s">
        <v>141</v>
      </c>
      <c r="D14" s="106"/>
      <c r="E14" s="106"/>
      <c r="F14" s="107"/>
      <c r="G14" s="143" t="s">
        <v>23</v>
      </c>
      <c r="H14" s="107"/>
      <c r="I14" s="148" t="s">
        <v>24</v>
      </c>
      <c r="J14" s="106"/>
      <c r="K14" s="107"/>
    </row>
    <row r="15" spans="1:13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 ht="22.5" customHeight="1">
      <c r="A16" s="3" t="s">
        <v>25</v>
      </c>
      <c r="B16" s="3"/>
      <c r="C16" s="4"/>
      <c r="D16" s="4"/>
      <c r="E16" s="4"/>
      <c r="F16" s="4"/>
      <c r="G16" s="4"/>
      <c r="H16" s="4"/>
      <c r="I16" s="4"/>
      <c r="J16" s="104"/>
      <c r="K16" s="104"/>
      <c r="L16" s="61"/>
      <c r="M16" s="61"/>
    </row>
    <row r="17" spans="1:25" ht="30" customHeight="1">
      <c r="A17" s="145" t="s">
        <v>26</v>
      </c>
      <c r="B17" s="128"/>
      <c r="C17" s="128"/>
      <c r="D17" s="129"/>
      <c r="E17" s="59" t="s">
        <v>27</v>
      </c>
      <c r="F17" s="59" t="s">
        <v>28</v>
      </c>
      <c r="G17" s="59" t="s">
        <v>29</v>
      </c>
      <c r="H17" s="145" t="s">
        <v>12</v>
      </c>
      <c r="I17" s="129"/>
      <c r="J17" s="6"/>
      <c r="K17" s="6"/>
      <c r="L17" s="173"/>
      <c r="M17" s="104"/>
      <c r="N17" s="104"/>
      <c r="O17" s="104"/>
      <c r="P17" s="65"/>
      <c r="Q17" s="65"/>
      <c r="R17" s="65"/>
      <c r="S17" s="173"/>
      <c r="T17" s="104"/>
      <c r="U17" s="7"/>
      <c r="V17" s="7"/>
      <c r="W17" s="7"/>
      <c r="X17" s="7"/>
      <c r="Y17" s="7"/>
    </row>
    <row r="18" spans="1:25" ht="15.75" customHeight="1">
      <c r="A18" s="176" t="s">
        <v>148</v>
      </c>
      <c r="B18" s="122"/>
      <c r="C18" s="122"/>
      <c r="D18" s="123"/>
      <c r="E18" s="11">
        <v>5</v>
      </c>
      <c r="F18" s="11">
        <v>1550</v>
      </c>
      <c r="G18" s="60">
        <f>E18*F18</f>
        <v>7750</v>
      </c>
      <c r="H18" s="167" t="s">
        <v>20</v>
      </c>
      <c r="I18" s="123"/>
      <c r="J18" s="6"/>
      <c r="K18" s="6"/>
      <c r="L18" s="174"/>
      <c r="M18" s="104"/>
      <c r="N18" s="104"/>
      <c r="O18" s="104"/>
      <c r="P18" s="22"/>
      <c r="Q18" s="22"/>
      <c r="R18" s="67"/>
      <c r="S18" s="175"/>
      <c r="T18" s="104"/>
      <c r="U18" s="7"/>
      <c r="V18" s="7"/>
      <c r="W18" s="7"/>
      <c r="X18" s="7"/>
      <c r="Y18" s="7"/>
    </row>
    <row r="19" spans="1:25" ht="14.25" customHeight="1">
      <c r="A19" s="177"/>
      <c r="B19" s="122"/>
      <c r="C19" s="122"/>
      <c r="D19" s="123"/>
      <c r="E19" s="8"/>
      <c r="F19" s="8"/>
      <c r="G19" s="60"/>
      <c r="H19" s="167"/>
      <c r="I19" s="123"/>
      <c r="J19" s="18"/>
      <c r="K19" s="18"/>
      <c r="L19" s="178"/>
      <c r="M19" s="104"/>
      <c r="N19" s="104"/>
      <c r="O19" s="104"/>
      <c r="P19" s="71"/>
      <c r="Q19" s="71"/>
      <c r="R19" s="67"/>
      <c r="S19" s="175"/>
      <c r="T19" s="104"/>
      <c r="U19" s="7"/>
      <c r="V19" s="7"/>
      <c r="W19" s="7"/>
      <c r="X19" s="7"/>
      <c r="Y19" s="7"/>
    </row>
    <row r="20" spans="1:25" ht="14.25" customHeight="1">
      <c r="A20" s="177"/>
      <c r="B20" s="122"/>
      <c r="C20" s="122"/>
      <c r="D20" s="123"/>
      <c r="E20" s="8"/>
      <c r="F20" s="8"/>
      <c r="G20" s="60"/>
      <c r="H20" s="167"/>
      <c r="I20" s="123"/>
      <c r="J20" s="18"/>
      <c r="K20" s="18"/>
      <c r="L20" s="178"/>
      <c r="M20" s="104"/>
      <c r="N20" s="104"/>
      <c r="O20" s="104"/>
      <c r="P20" s="71"/>
      <c r="Q20" s="71"/>
      <c r="R20" s="67"/>
      <c r="S20" s="175"/>
      <c r="T20" s="104"/>
      <c r="U20" s="7"/>
      <c r="V20" s="7"/>
      <c r="W20" s="7"/>
      <c r="X20" s="7"/>
      <c r="Y20" s="7"/>
    </row>
    <row r="21" spans="1:25" ht="14.25" customHeight="1">
      <c r="A21" s="172"/>
      <c r="B21" s="122"/>
      <c r="C21" s="122"/>
      <c r="D21" s="123"/>
      <c r="E21" s="8"/>
      <c r="F21" s="8"/>
      <c r="G21" s="60"/>
      <c r="H21" s="167"/>
      <c r="I21" s="123"/>
      <c r="J21" s="2"/>
      <c r="K21" s="2"/>
      <c r="L21" s="179"/>
      <c r="M21" s="104"/>
      <c r="N21" s="104"/>
      <c r="O21" s="104"/>
      <c r="P21" s="71"/>
      <c r="Q21" s="71"/>
      <c r="R21" s="67"/>
      <c r="S21" s="175"/>
      <c r="T21" s="104"/>
    </row>
    <row r="22" spans="1:25" ht="14.25" customHeight="1">
      <c r="A22" s="177"/>
      <c r="B22" s="122"/>
      <c r="C22" s="122"/>
      <c r="D22" s="123"/>
      <c r="E22" s="8"/>
      <c r="F22" s="8"/>
      <c r="G22" s="60"/>
      <c r="H22" s="167"/>
      <c r="I22" s="123"/>
      <c r="J22" s="2"/>
      <c r="K22" s="2"/>
      <c r="L22" s="178"/>
      <c r="M22" s="104"/>
      <c r="N22" s="104"/>
      <c r="O22" s="104"/>
      <c r="P22" s="71"/>
      <c r="Q22" s="71"/>
      <c r="R22" s="67"/>
      <c r="S22" s="175"/>
      <c r="T22" s="104"/>
    </row>
    <row r="23" spans="1:25" ht="14.25" customHeight="1">
      <c r="A23" s="171"/>
      <c r="B23" s="122"/>
      <c r="C23" s="122"/>
      <c r="D23" s="123"/>
      <c r="E23" s="8"/>
      <c r="F23" s="8"/>
      <c r="G23" s="60"/>
      <c r="H23" s="167"/>
      <c r="I23" s="123"/>
      <c r="J23" s="2"/>
      <c r="K23" s="2"/>
      <c r="L23" s="182"/>
      <c r="M23" s="104"/>
      <c r="N23" s="104"/>
      <c r="O23" s="104"/>
      <c r="P23" s="71"/>
      <c r="Q23" s="71"/>
      <c r="R23" s="67"/>
      <c r="S23" s="175"/>
      <c r="T23" s="104"/>
    </row>
    <row r="24" spans="1:25" ht="14.25" customHeight="1">
      <c r="A24" s="171"/>
      <c r="B24" s="122"/>
      <c r="C24" s="122"/>
      <c r="D24" s="123"/>
      <c r="E24" s="8"/>
      <c r="F24" s="8"/>
      <c r="G24" s="12"/>
      <c r="H24" s="167"/>
      <c r="I24" s="123"/>
      <c r="J24" s="2"/>
      <c r="K24" s="2"/>
      <c r="L24" s="182"/>
      <c r="M24" s="104"/>
      <c r="N24" s="104"/>
      <c r="O24" s="104"/>
      <c r="P24" s="71"/>
      <c r="Q24" s="71"/>
      <c r="R24" s="77"/>
      <c r="S24" s="175"/>
      <c r="T24" s="104"/>
    </row>
    <row r="25" spans="1:25" ht="14.25" customHeight="1">
      <c r="A25" s="41"/>
      <c r="B25" s="41"/>
      <c r="C25" s="41"/>
      <c r="D25" s="41"/>
      <c r="E25" s="41"/>
      <c r="F25" s="41"/>
      <c r="G25" s="43"/>
      <c r="H25" s="44"/>
      <c r="I25" s="49"/>
      <c r="J25" s="2"/>
      <c r="K25" s="2"/>
      <c r="L25" s="78"/>
      <c r="M25" s="78"/>
      <c r="N25" s="78"/>
      <c r="O25" s="78"/>
      <c r="P25" s="78"/>
      <c r="Q25" s="78"/>
      <c r="R25" s="79"/>
      <c r="S25" s="79"/>
      <c r="T25" s="2"/>
    </row>
    <row r="26" spans="1:25" ht="14.25" customHeight="1">
      <c r="A26" s="111" t="s">
        <v>65</v>
      </c>
      <c r="B26" s="106"/>
      <c r="C26" s="106"/>
      <c r="D26" s="106"/>
      <c r="E26" s="106"/>
      <c r="F26" s="107"/>
      <c r="G26" s="30">
        <f>SUM(G18)</f>
        <v>7750</v>
      </c>
      <c r="H26" s="48"/>
      <c r="I26" s="49"/>
      <c r="J26" s="2"/>
      <c r="K26" s="2"/>
      <c r="L26" s="180"/>
      <c r="M26" s="104"/>
      <c r="N26" s="104"/>
      <c r="O26" s="104"/>
      <c r="P26" s="104"/>
      <c r="Q26" s="104"/>
      <c r="R26" s="91"/>
      <c r="S26" s="79"/>
      <c r="T26" s="2"/>
    </row>
    <row r="27" spans="1:25" ht="14.25" customHeight="1">
      <c r="A27" s="46"/>
      <c r="B27" s="46"/>
      <c r="C27" s="46"/>
      <c r="D27" s="46"/>
      <c r="E27" s="46"/>
      <c r="F27" s="46" t="s">
        <v>41</v>
      </c>
      <c r="G27" s="30">
        <f>G26*1.05</f>
        <v>8137.5</v>
      </c>
      <c r="H27" s="48"/>
      <c r="I27" s="49"/>
      <c r="J27" s="2"/>
      <c r="K27" s="2"/>
      <c r="L27" s="90"/>
      <c r="M27" s="90"/>
      <c r="N27" s="90"/>
      <c r="O27" s="90"/>
      <c r="P27" s="90"/>
      <c r="Q27" s="90"/>
      <c r="R27" s="91"/>
      <c r="S27" s="79"/>
      <c r="T27" s="2"/>
    </row>
    <row r="28" spans="1:25" ht="14.25" customHeight="1">
      <c r="A28" s="111" t="s">
        <v>160</v>
      </c>
      <c r="B28" s="106"/>
      <c r="C28" s="106"/>
      <c r="D28" s="106"/>
      <c r="E28" s="106"/>
      <c r="F28" s="107"/>
      <c r="G28" s="30">
        <v>350</v>
      </c>
      <c r="H28" s="48"/>
      <c r="I28" s="49"/>
      <c r="J28" s="47"/>
      <c r="K28" s="2"/>
      <c r="L28" s="180"/>
      <c r="M28" s="104"/>
      <c r="N28" s="104"/>
      <c r="O28" s="104"/>
      <c r="P28" s="104"/>
      <c r="Q28" s="104"/>
      <c r="R28" s="91"/>
      <c r="S28" s="79"/>
      <c r="T28" s="2"/>
    </row>
    <row r="29" spans="1:25" ht="14.25" customHeight="1">
      <c r="A29" s="112" t="s">
        <v>48</v>
      </c>
      <c r="B29" s="106"/>
      <c r="C29" s="106"/>
      <c r="D29" s="106"/>
      <c r="E29" s="106"/>
      <c r="F29" s="107"/>
      <c r="G29" s="53">
        <f>SUM(G27,G28)</f>
        <v>8487.5</v>
      </c>
      <c r="H29" s="48"/>
      <c r="I29" s="49"/>
      <c r="J29" s="47"/>
      <c r="K29" s="2"/>
      <c r="L29" s="181"/>
      <c r="M29" s="104"/>
      <c r="N29" s="104"/>
      <c r="O29" s="104"/>
      <c r="P29" s="104"/>
      <c r="Q29" s="104"/>
      <c r="R29" s="98"/>
      <c r="S29" s="79"/>
      <c r="T29" s="2"/>
    </row>
    <row r="30" spans="1:25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25" ht="22.5" customHeight="1">
      <c r="A31" s="113" t="s">
        <v>54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7"/>
    </row>
    <row r="32" spans="1:25" ht="14.25" customHeight="1">
      <c r="A32" s="103" t="s">
        <v>56</v>
      </c>
      <c r="B32" s="104"/>
      <c r="C32" s="104"/>
      <c r="D32" s="54">
        <v>10</v>
      </c>
      <c r="E32" s="2" t="s">
        <v>58</v>
      </c>
      <c r="F32" s="103"/>
      <c r="G32" s="104"/>
      <c r="H32" s="104"/>
      <c r="I32" s="104"/>
      <c r="J32" s="103"/>
      <c r="K32" s="104"/>
    </row>
    <row r="33" spans="1:11" ht="14.25" customHeight="1">
      <c r="A33" s="2"/>
      <c r="B33" s="2"/>
      <c r="C33" s="2"/>
      <c r="D33" s="2"/>
      <c r="E33" s="2"/>
      <c r="F33" s="103"/>
      <c r="G33" s="104"/>
      <c r="H33" s="104"/>
      <c r="I33" s="42"/>
      <c r="J33" s="103"/>
      <c r="K33" s="104"/>
    </row>
    <row r="34" spans="1:11" ht="14.25" customHeight="1">
      <c r="A34" s="105" t="s">
        <v>64</v>
      </c>
      <c r="B34" s="106"/>
      <c r="C34" s="107"/>
      <c r="D34" s="103" t="s">
        <v>66</v>
      </c>
      <c r="E34" s="104"/>
      <c r="F34" s="108" t="s">
        <v>167</v>
      </c>
      <c r="G34" s="104"/>
      <c r="H34" s="104"/>
      <c r="I34" s="42"/>
      <c r="J34" s="103"/>
      <c r="K34" s="104"/>
    </row>
    <row r="35" spans="1:11" ht="14.25" customHeight="1">
      <c r="A35" s="109" t="s">
        <v>70</v>
      </c>
      <c r="B35" s="104"/>
      <c r="C35" s="104"/>
      <c r="D35" s="103" t="s">
        <v>72</v>
      </c>
      <c r="E35" s="104"/>
      <c r="F35" s="110"/>
      <c r="G35" s="104"/>
      <c r="H35" s="104"/>
      <c r="I35" s="42"/>
      <c r="J35" s="105"/>
      <c r="K35" s="107"/>
    </row>
    <row r="36" spans="1:11" ht="14.25" customHeight="1">
      <c r="A36" s="103" t="s">
        <v>75</v>
      </c>
      <c r="B36" s="104"/>
      <c r="C36" s="104"/>
      <c r="D36" s="103" t="s">
        <v>76</v>
      </c>
      <c r="E36" s="104"/>
      <c r="F36" s="103"/>
      <c r="G36" s="104"/>
      <c r="H36" s="104"/>
      <c r="I36" s="42"/>
      <c r="J36" s="103"/>
      <c r="K36" s="104"/>
    </row>
    <row r="37" spans="1:11" ht="14.25" customHeight="1">
      <c r="A37" s="103" t="s">
        <v>79</v>
      </c>
      <c r="B37" s="104"/>
      <c r="C37" s="104"/>
      <c r="D37" s="2"/>
      <c r="E37" s="2"/>
      <c r="F37" s="114" t="s">
        <v>80</v>
      </c>
      <c r="G37" s="106"/>
      <c r="H37" s="106"/>
      <c r="I37" s="106"/>
      <c r="J37" s="106"/>
      <c r="K37" s="107"/>
    </row>
    <row r="38" spans="1:11" ht="14.25" customHeight="1">
      <c r="A38" s="2"/>
      <c r="B38" s="2"/>
      <c r="C38" s="2"/>
      <c r="D38" s="2"/>
      <c r="E38" s="2"/>
      <c r="F38" s="115" t="s">
        <v>81</v>
      </c>
      <c r="G38" s="104"/>
      <c r="H38" s="104"/>
      <c r="I38" s="115" t="s">
        <v>83</v>
      </c>
      <c r="J38" s="104"/>
      <c r="K38" s="50"/>
    </row>
    <row r="39" spans="1:11" ht="14.25" customHeight="1">
      <c r="A39" s="2"/>
      <c r="B39" s="2"/>
      <c r="C39" s="2"/>
      <c r="D39" s="2"/>
      <c r="E39" s="2"/>
      <c r="F39" s="183">
        <v>72223</v>
      </c>
      <c r="G39" s="106"/>
      <c r="H39" s="107"/>
      <c r="I39" s="184" t="s">
        <v>85</v>
      </c>
      <c r="J39" s="107"/>
      <c r="K39" s="51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2.5" customHeight="1">
      <c r="A41" s="35" t="s">
        <v>86</v>
      </c>
      <c r="B41" s="113" t="s">
        <v>87</v>
      </c>
      <c r="C41" s="106"/>
      <c r="D41" s="106"/>
      <c r="E41" s="106"/>
      <c r="F41" s="106"/>
      <c r="G41" s="106"/>
      <c r="H41" s="106"/>
      <c r="I41" s="106"/>
      <c r="J41" s="106"/>
      <c r="K41" s="107"/>
    </row>
    <row r="42" spans="1:11" ht="14.25" customHeight="1">
      <c r="A42" s="103" t="s">
        <v>88</v>
      </c>
      <c r="B42" s="104"/>
      <c r="C42" s="108" t="s">
        <v>171</v>
      </c>
      <c r="D42" s="104"/>
      <c r="E42" s="104"/>
      <c r="F42" s="119"/>
      <c r="G42" s="106"/>
      <c r="H42" s="106"/>
      <c r="I42" s="106"/>
      <c r="J42" s="106"/>
      <c r="K42" s="107"/>
    </row>
    <row r="43" spans="1:11" ht="14.25" customHeight="1">
      <c r="A43" s="103" t="s">
        <v>91</v>
      </c>
      <c r="B43" s="104"/>
      <c r="C43" s="104"/>
      <c r="D43" s="152" t="s">
        <v>92</v>
      </c>
      <c r="E43" s="107"/>
      <c r="F43" s="119"/>
      <c r="G43" s="106"/>
      <c r="H43" s="106"/>
      <c r="I43" s="106"/>
      <c r="J43" s="106"/>
      <c r="K43" s="107"/>
    </row>
    <row r="44" spans="1:11" ht="14.25" customHeight="1">
      <c r="A44" s="2"/>
      <c r="B44" s="2"/>
      <c r="C44" s="2"/>
      <c r="D44" s="2"/>
      <c r="E44" s="2"/>
      <c r="F44" s="119"/>
      <c r="G44" s="106"/>
      <c r="H44" s="106"/>
      <c r="I44" s="106"/>
      <c r="J44" s="106"/>
      <c r="K44" s="107"/>
    </row>
    <row r="45" spans="1:11" ht="14.25" customHeight="1">
      <c r="A45" s="2"/>
      <c r="B45" s="2"/>
      <c r="C45" s="2"/>
      <c r="D45" s="2"/>
      <c r="E45" s="2"/>
      <c r="F45" s="119"/>
      <c r="G45" s="106"/>
      <c r="H45" s="106"/>
      <c r="I45" s="106"/>
      <c r="J45" s="106"/>
      <c r="K45" s="107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2.5" customHeight="1">
      <c r="A47" s="35" t="s">
        <v>97</v>
      </c>
      <c r="B47" s="113" t="s">
        <v>98</v>
      </c>
      <c r="C47" s="106"/>
      <c r="D47" s="106"/>
      <c r="E47" s="106"/>
      <c r="F47" s="106"/>
      <c r="G47" s="106"/>
      <c r="H47" s="106"/>
      <c r="I47" s="106"/>
      <c r="J47" s="106"/>
      <c r="K47" s="107"/>
    </row>
    <row r="48" spans="1:11" ht="14.25" customHeight="1">
      <c r="A48" s="55" t="s">
        <v>100</v>
      </c>
      <c r="B48" s="120" t="s">
        <v>101</v>
      </c>
      <c r="C48" s="106"/>
      <c r="D48" s="106"/>
      <c r="E48" s="107"/>
      <c r="F48" s="120" t="s">
        <v>102</v>
      </c>
      <c r="G48" s="106"/>
      <c r="H48" s="107"/>
      <c r="I48" s="120" t="s">
        <v>103</v>
      </c>
      <c r="J48" s="107"/>
      <c r="K48" s="55"/>
    </row>
    <row r="49" spans="1:11" ht="42.75" customHeight="1">
      <c r="A49" s="56" t="s">
        <v>104</v>
      </c>
      <c r="B49" s="121" t="s">
        <v>105</v>
      </c>
      <c r="C49" s="122"/>
      <c r="D49" s="122"/>
      <c r="E49" s="123"/>
      <c r="F49" s="124" t="s">
        <v>106</v>
      </c>
      <c r="G49" s="122"/>
      <c r="H49" s="123"/>
      <c r="I49" s="125"/>
      <c r="J49" s="123"/>
      <c r="K49" s="57"/>
    </row>
    <row r="50" spans="1:11" ht="31.5" customHeight="1">
      <c r="A50" s="56" t="s">
        <v>108</v>
      </c>
      <c r="B50" s="121" t="s">
        <v>109</v>
      </c>
      <c r="C50" s="122"/>
      <c r="D50" s="122"/>
      <c r="E50" s="123"/>
      <c r="F50" s="124" t="s">
        <v>110</v>
      </c>
      <c r="G50" s="122"/>
      <c r="H50" s="123"/>
      <c r="I50" s="125"/>
      <c r="J50" s="123"/>
      <c r="K50" s="57"/>
    </row>
    <row r="51" spans="1:11" ht="31.5" customHeight="1">
      <c r="A51" s="56" t="s">
        <v>111</v>
      </c>
      <c r="B51" s="121" t="s">
        <v>112</v>
      </c>
      <c r="C51" s="122"/>
      <c r="D51" s="122"/>
      <c r="E51" s="123"/>
      <c r="F51" s="124" t="s">
        <v>113</v>
      </c>
      <c r="G51" s="122"/>
      <c r="H51" s="123"/>
      <c r="I51" s="125"/>
      <c r="J51" s="123"/>
      <c r="K51" s="57"/>
    </row>
    <row r="52" spans="1:11" ht="30" customHeight="1">
      <c r="A52" s="56" t="s">
        <v>114</v>
      </c>
      <c r="B52" s="121" t="s">
        <v>116</v>
      </c>
      <c r="C52" s="122"/>
      <c r="D52" s="122"/>
      <c r="E52" s="123"/>
      <c r="F52" s="124" t="s">
        <v>118</v>
      </c>
      <c r="G52" s="122"/>
      <c r="H52" s="123"/>
      <c r="I52" s="125"/>
      <c r="J52" s="123"/>
      <c r="K52" s="57"/>
    </row>
    <row r="53" spans="1:11" ht="34.5" customHeight="1">
      <c r="A53" s="56" t="s">
        <v>53</v>
      </c>
      <c r="B53" s="121" t="s">
        <v>119</v>
      </c>
      <c r="C53" s="122"/>
      <c r="D53" s="122"/>
      <c r="E53" s="123"/>
      <c r="F53" s="124" t="s">
        <v>120</v>
      </c>
      <c r="G53" s="122"/>
      <c r="H53" s="123"/>
      <c r="I53" s="125"/>
      <c r="J53" s="123"/>
      <c r="K53" s="57"/>
    </row>
    <row r="54" spans="1:11" ht="30" customHeight="1">
      <c r="A54" s="56" t="s">
        <v>121</v>
      </c>
      <c r="B54" s="121" t="s">
        <v>122</v>
      </c>
      <c r="C54" s="122"/>
      <c r="D54" s="122"/>
      <c r="E54" s="123"/>
      <c r="F54" s="124" t="s">
        <v>123</v>
      </c>
      <c r="G54" s="122"/>
      <c r="H54" s="123"/>
      <c r="I54" s="125"/>
      <c r="J54" s="123"/>
      <c r="K54" s="57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58"/>
    </row>
    <row r="56" spans="1:11" ht="22.5" customHeight="1">
      <c r="A56" s="35" t="s">
        <v>124</v>
      </c>
      <c r="B56" s="113" t="s">
        <v>125</v>
      </c>
      <c r="C56" s="106"/>
      <c r="D56" s="106"/>
      <c r="E56" s="106"/>
      <c r="F56" s="106"/>
      <c r="G56" s="106"/>
      <c r="H56" s="106"/>
      <c r="I56" s="106"/>
      <c r="J56" s="106"/>
      <c r="K56" s="107"/>
    </row>
    <row r="57" spans="1:11" ht="14.25" customHeight="1">
      <c r="A57" s="133" t="s">
        <v>126</v>
      </c>
      <c r="B57" s="104"/>
      <c r="C57" s="104"/>
      <c r="D57" s="104"/>
      <c r="E57" s="133" t="s">
        <v>127</v>
      </c>
      <c r="F57" s="104"/>
      <c r="G57" s="104"/>
      <c r="H57" s="104"/>
      <c r="I57" s="133" t="s">
        <v>128</v>
      </c>
      <c r="J57" s="104"/>
      <c r="K57" s="104"/>
    </row>
    <row r="58" spans="1:11" ht="14.25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</row>
    <row r="59" spans="1:11" ht="14.25" customHeight="1">
      <c r="A59" s="103" t="s">
        <v>129</v>
      </c>
      <c r="B59" s="104"/>
      <c r="C59" s="104"/>
      <c r="D59" s="134"/>
      <c r="E59" s="128"/>
      <c r="F59" s="128"/>
      <c r="G59" s="128"/>
      <c r="H59" s="128"/>
      <c r="I59" s="128"/>
      <c r="J59" s="128"/>
      <c r="K59" s="129"/>
    </row>
    <row r="60" spans="1:11" ht="14.25" customHeight="1">
      <c r="A60" s="2"/>
      <c r="B60" s="2"/>
      <c r="C60" s="2"/>
      <c r="D60" s="135"/>
      <c r="E60" s="104"/>
      <c r="F60" s="104"/>
      <c r="G60" s="104"/>
      <c r="H60" s="104"/>
      <c r="I60" s="104"/>
      <c r="J60" s="104"/>
      <c r="K60" s="136"/>
    </row>
    <row r="61" spans="1:11" ht="14.25" customHeight="1">
      <c r="A61" s="2"/>
      <c r="B61" s="2"/>
      <c r="C61" s="2"/>
      <c r="D61" s="130"/>
      <c r="E61" s="131"/>
      <c r="F61" s="131"/>
      <c r="G61" s="131"/>
      <c r="H61" s="131"/>
      <c r="I61" s="131"/>
      <c r="J61" s="131"/>
      <c r="K61" s="132"/>
    </row>
    <row r="62" spans="1:11" ht="14.25" customHeight="1"/>
    <row r="63" spans="1:11" ht="14.25" customHeight="1">
      <c r="A63" s="127" t="s">
        <v>130</v>
      </c>
      <c r="B63" s="128"/>
      <c r="C63" s="128"/>
      <c r="D63" s="129"/>
      <c r="E63" s="127" t="s">
        <v>131</v>
      </c>
      <c r="F63" s="128"/>
      <c r="G63" s="128"/>
      <c r="H63" s="129"/>
      <c r="I63" s="127" t="s">
        <v>132</v>
      </c>
      <c r="J63" s="128"/>
      <c r="K63" s="129"/>
    </row>
    <row r="64" spans="1:11" ht="14.25" customHeight="1">
      <c r="A64" s="130"/>
      <c r="B64" s="131"/>
      <c r="C64" s="131"/>
      <c r="D64" s="132"/>
      <c r="E64" s="130"/>
      <c r="F64" s="131"/>
      <c r="G64" s="131"/>
      <c r="H64" s="132"/>
      <c r="I64" s="130"/>
      <c r="J64" s="131"/>
      <c r="K64" s="13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33">
    <mergeCell ref="F54:H54"/>
    <mergeCell ref="I54:J54"/>
    <mergeCell ref="B52:E52"/>
    <mergeCell ref="F52:H52"/>
    <mergeCell ref="I52:J52"/>
    <mergeCell ref="B53:E53"/>
    <mergeCell ref="F53:H53"/>
    <mergeCell ref="I53:J53"/>
    <mergeCell ref="B56:K56"/>
    <mergeCell ref="F51:H51"/>
    <mergeCell ref="I51:J51"/>
    <mergeCell ref="B49:E49"/>
    <mergeCell ref="F49:H49"/>
    <mergeCell ref="I49:J49"/>
    <mergeCell ref="B50:E50"/>
    <mergeCell ref="F50:H50"/>
    <mergeCell ref="I50:J50"/>
    <mergeCell ref="B51:E51"/>
    <mergeCell ref="I38:J38"/>
    <mergeCell ref="F39:H39"/>
    <mergeCell ref="I39:J39"/>
    <mergeCell ref="B41:K41"/>
    <mergeCell ref="A42:B42"/>
    <mergeCell ref="F48:H48"/>
    <mergeCell ref="I48:J48"/>
    <mergeCell ref="A43:C43"/>
    <mergeCell ref="D43:E43"/>
    <mergeCell ref="F43:K43"/>
    <mergeCell ref="F44:K44"/>
    <mergeCell ref="F45:K45"/>
    <mergeCell ref="B47:K47"/>
    <mergeCell ref="B48:E48"/>
    <mergeCell ref="L26:Q26"/>
    <mergeCell ref="L28:Q28"/>
    <mergeCell ref="L29:Q29"/>
    <mergeCell ref="A22:D22"/>
    <mergeCell ref="H23:I23"/>
    <mergeCell ref="L23:O23"/>
    <mergeCell ref="S23:T23"/>
    <mergeCell ref="H24:I24"/>
    <mergeCell ref="L24:O24"/>
    <mergeCell ref="S24:T24"/>
    <mergeCell ref="A20:D20"/>
    <mergeCell ref="H20:I20"/>
    <mergeCell ref="L20:O20"/>
    <mergeCell ref="S19:T19"/>
    <mergeCell ref="S20:T20"/>
    <mergeCell ref="H21:I21"/>
    <mergeCell ref="L21:O21"/>
    <mergeCell ref="S21:T21"/>
    <mergeCell ref="H22:I22"/>
    <mergeCell ref="L22:O22"/>
    <mergeCell ref="S22:T22"/>
    <mergeCell ref="A17:D17"/>
    <mergeCell ref="H17:I17"/>
    <mergeCell ref="L17:O17"/>
    <mergeCell ref="S17:T17"/>
    <mergeCell ref="H18:I18"/>
    <mergeCell ref="L18:O18"/>
    <mergeCell ref="S18:T18"/>
    <mergeCell ref="A18:D18"/>
    <mergeCell ref="A19:D19"/>
    <mergeCell ref="H19:I19"/>
    <mergeCell ref="L19:O19"/>
    <mergeCell ref="A21:D21"/>
    <mergeCell ref="A24:D24"/>
    <mergeCell ref="E63:H64"/>
    <mergeCell ref="I63:K64"/>
    <mergeCell ref="B54:E54"/>
    <mergeCell ref="A57:D58"/>
    <mergeCell ref="E57:H58"/>
    <mergeCell ref="I57:K58"/>
    <mergeCell ref="A59:C59"/>
    <mergeCell ref="D59:K61"/>
    <mergeCell ref="A63:D64"/>
    <mergeCell ref="A36:C36"/>
    <mergeCell ref="A37:C37"/>
    <mergeCell ref="A35:C35"/>
    <mergeCell ref="D35:E35"/>
    <mergeCell ref="F35:H35"/>
    <mergeCell ref="J35:K35"/>
    <mergeCell ref="D36:E36"/>
    <mergeCell ref="F36:H36"/>
    <mergeCell ref="J36:K36"/>
    <mergeCell ref="C42:E42"/>
    <mergeCell ref="F42:K42"/>
    <mergeCell ref="F37:K37"/>
    <mergeCell ref="F38:H38"/>
    <mergeCell ref="I13:K13"/>
    <mergeCell ref="C14:F14"/>
    <mergeCell ref="G14:H14"/>
    <mergeCell ref="I14:K14"/>
    <mergeCell ref="J16:K16"/>
    <mergeCell ref="A2:C7"/>
    <mergeCell ref="A10:B10"/>
    <mergeCell ref="A11:B11"/>
    <mergeCell ref="A12:B12"/>
    <mergeCell ref="A13:B13"/>
    <mergeCell ref="A14:B14"/>
    <mergeCell ref="A34:C34"/>
    <mergeCell ref="D34:E34"/>
    <mergeCell ref="F34:H34"/>
    <mergeCell ref="J34:K34"/>
    <mergeCell ref="J6:K6"/>
    <mergeCell ref="J7:K7"/>
    <mergeCell ref="D2:I5"/>
    <mergeCell ref="J2:K2"/>
    <mergeCell ref="J3:K3"/>
    <mergeCell ref="J4:K4"/>
    <mergeCell ref="J5:K5"/>
    <mergeCell ref="D6:I7"/>
    <mergeCell ref="A9:K9"/>
    <mergeCell ref="G12:H12"/>
    <mergeCell ref="I12:K12"/>
    <mergeCell ref="C10:F10"/>
    <mergeCell ref="G10:H10"/>
    <mergeCell ref="I10:K10"/>
    <mergeCell ref="C11:F11"/>
    <mergeCell ref="G11:H11"/>
    <mergeCell ref="I11:K11"/>
    <mergeCell ref="C12:F12"/>
    <mergeCell ref="C13:F13"/>
    <mergeCell ref="G13:H13"/>
    <mergeCell ref="A23:D23"/>
    <mergeCell ref="A26:F26"/>
    <mergeCell ref="A28:F28"/>
    <mergeCell ref="A29:F29"/>
    <mergeCell ref="A31:K31"/>
    <mergeCell ref="A32:C32"/>
    <mergeCell ref="J32:K32"/>
    <mergeCell ref="F32:I32"/>
    <mergeCell ref="F33:H33"/>
    <mergeCell ref="J33:K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05"/>
  <sheetViews>
    <sheetView workbookViewId="0"/>
  </sheetViews>
  <sheetFormatPr defaultColWidth="12.59765625" defaultRowHeight="15" customHeight="1"/>
  <cols>
    <col min="1" max="1" width="15.69921875" customWidth="1"/>
    <col min="2" max="2" width="26.3984375" customWidth="1"/>
    <col min="3" max="3" width="8.8984375" customWidth="1"/>
    <col min="4" max="4" width="3.59765625" customWidth="1"/>
    <col min="5" max="5" width="5.09765625" customWidth="1"/>
    <col min="6" max="6" width="11.69921875" customWidth="1"/>
    <col min="7" max="8" width="10.5" customWidth="1"/>
    <col min="9" max="9" width="4.69921875" customWidth="1"/>
    <col min="10" max="10" width="9.69921875" customWidth="1"/>
    <col min="11" max="11" width="7" customWidth="1"/>
    <col min="12" max="13" width="9" customWidth="1"/>
    <col min="14" max="14" width="17.3984375" customWidth="1"/>
    <col min="15" max="23" width="9" customWidth="1"/>
    <col min="24" max="24" width="12.69921875" customWidth="1"/>
    <col min="25" max="26" width="9" customWidth="1"/>
    <col min="27" max="27" width="11.3984375" customWidth="1"/>
    <col min="28" max="37" width="9" customWidth="1"/>
  </cols>
  <sheetData>
    <row r="1" spans="1:22" ht="7.5" customHeight="1"/>
    <row r="2" spans="1:22" ht="14.25" customHeight="1">
      <c r="A2" s="151" t="s">
        <v>0</v>
      </c>
      <c r="B2" s="128"/>
      <c r="C2" s="129"/>
      <c r="D2" s="139" t="s">
        <v>1</v>
      </c>
      <c r="E2" s="128"/>
      <c r="F2" s="128"/>
      <c r="G2" s="128"/>
      <c r="H2" s="128"/>
      <c r="I2" s="129"/>
      <c r="J2" s="137"/>
      <c r="K2" s="107"/>
    </row>
    <row r="3" spans="1:22" ht="14.25" customHeight="1">
      <c r="A3" s="135"/>
      <c r="B3" s="104"/>
      <c r="C3" s="136"/>
      <c r="D3" s="135"/>
      <c r="E3" s="104"/>
      <c r="F3" s="104"/>
      <c r="G3" s="104"/>
      <c r="H3" s="104"/>
      <c r="I3" s="136"/>
      <c r="J3" s="140"/>
      <c r="K3" s="107"/>
    </row>
    <row r="4" spans="1:22" ht="14.25" customHeight="1">
      <c r="A4" s="135"/>
      <c r="B4" s="104"/>
      <c r="C4" s="136"/>
      <c r="D4" s="135"/>
      <c r="E4" s="104"/>
      <c r="F4" s="104"/>
      <c r="G4" s="104"/>
      <c r="H4" s="104"/>
      <c r="I4" s="136"/>
      <c r="J4" s="137" t="s">
        <v>2</v>
      </c>
      <c r="K4" s="107"/>
    </row>
    <row r="5" spans="1:22" ht="14.25" customHeight="1">
      <c r="A5" s="135"/>
      <c r="B5" s="104"/>
      <c r="C5" s="136"/>
      <c r="D5" s="130"/>
      <c r="E5" s="131"/>
      <c r="F5" s="131"/>
      <c r="G5" s="131"/>
      <c r="H5" s="131"/>
      <c r="I5" s="132"/>
      <c r="J5" s="141" t="s">
        <v>3</v>
      </c>
      <c r="K5" s="107"/>
    </row>
    <row r="6" spans="1:22" ht="14.25" customHeight="1">
      <c r="A6" s="135"/>
      <c r="B6" s="104"/>
      <c r="C6" s="136"/>
      <c r="D6" s="142" t="s">
        <v>4</v>
      </c>
      <c r="E6" s="128"/>
      <c r="F6" s="128"/>
      <c r="G6" s="128"/>
      <c r="H6" s="128"/>
      <c r="I6" s="129"/>
      <c r="J6" s="137" t="s">
        <v>5</v>
      </c>
      <c r="K6" s="107"/>
    </row>
    <row r="7" spans="1:22" ht="14.25" customHeight="1">
      <c r="A7" s="130"/>
      <c r="B7" s="131"/>
      <c r="C7" s="132"/>
      <c r="D7" s="130"/>
      <c r="E7" s="131"/>
      <c r="F7" s="131"/>
      <c r="G7" s="131"/>
      <c r="H7" s="131"/>
      <c r="I7" s="132"/>
      <c r="J7" s="138"/>
      <c r="K7" s="107"/>
      <c r="N7" s="145" t="s">
        <v>26</v>
      </c>
      <c r="O7" s="128"/>
      <c r="P7" s="128"/>
      <c r="Q7" s="129"/>
      <c r="R7" s="59" t="s">
        <v>27</v>
      </c>
      <c r="S7" s="59" t="s">
        <v>28</v>
      </c>
      <c r="T7" s="59" t="s">
        <v>29</v>
      </c>
      <c r="U7" s="145" t="s">
        <v>12</v>
      </c>
      <c r="V7" s="129"/>
    </row>
    <row r="8" spans="1:22" ht="14.25" customHeight="1">
      <c r="N8" s="176" t="s">
        <v>135</v>
      </c>
      <c r="O8" s="122"/>
      <c r="P8" s="122"/>
      <c r="Q8" s="123"/>
      <c r="R8" s="11">
        <v>4</v>
      </c>
      <c r="S8" s="11">
        <v>1550</v>
      </c>
      <c r="T8" s="60">
        <f t="shared" ref="T8:T12" si="0">R8*S8</f>
        <v>6200</v>
      </c>
      <c r="U8" s="167" t="s">
        <v>16</v>
      </c>
      <c r="V8" s="123"/>
    </row>
    <row r="9" spans="1:22" ht="22.5" customHeight="1">
      <c r="A9" s="113" t="s">
        <v>7</v>
      </c>
      <c r="B9" s="106"/>
      <c r="C9" s="106"/>
      <c r="D9" s="106"/>
      <c r="E9" s="106"/>
      <c r="F9" s="106"/>
      <c r="G9" s="106"/>
      <c r="H9" s="106"/>
      <c r="I9" s="106"/>
      <c r="J9" s="106"/>
      <c r="K9" s="107"/>
      <c r="N9" s="177" t="s">
        <v>138</v>
      </c>
      <c r="O9" s="122"/>
      <c r="P9" s="122"/>
      <c r="Q9" s="123"/>
      <c r="R9" s="8">
        <v>7</v>
      </c>
      <c r="S9" s="8">
        <v>440</v>
      </c>
      <c r="T9" s="60">
        <f t="shared" si="0"/>
        <v>3080</v>
      </c>
      <c r="U9" s="167" t="s">
        <v>16</v>
      </c>
      <c r="V9" s="123"/>
    </row>
    <row r="10" spans="1:22" ht="14.25" customHeight="1">
      <c r="A10" s="143" t="s">
        <v>8</v>
      </c>
      <c r="B10" s="107"/>
      <c r="C10" s="149" t="s">
        <v>136</v>
      </c>
      <c r="D10" s="106"/>
      <c r="E10" s="106"/>
      <c r="F10" s="107"/>
      <c r="G10" s="143"/>
      <c r="H10" s="107"/>
      <c r="I10" s="158"/>
      <c r="J10" s="106"/>
      <c r="K10" s="107"/>
      <c r="N10" s="177" t="s">
        <v>140</v>
      </c>
      <c r="O10" s="122"/>
      <c r="P10" s="122"/>
      <c r="Q10" s="123"/>
      <c r="R10" s="8">
        <v>160</v>
      </c>
      <c r="S10" s="8">
        <v>8</v>
      </c>
      <c r="T10" s="60">
        <f t="shared" si="0"/>
        <v>1280</v>
      </c>
      <c r="U10" s="167" t="s">
        <v>16</v>
      </c>
      <c r="V10" s="123"/>
    </row>
    <row r="11" spans="1:22" ht="14.25" customHeight="1">
      <c r="A11" s="143" t="s">
        <v>12</v>
      </c>
      <c r="B11" s="107"/>
      <c r="C11" s="149"/>
      <c r="D11" s="106"/>
      <c r="E11" s="106"/>
      <c r="F11" s="107"/>
      <c r="G11" s="143"/>
      <c r="H11" s="107"/>
      <c r="I11" s="150"/>
      <c r="J11" s="106"/>
      <c r="K11" s="107"/>
      <c r="N11" s="185" t="s">
        <v>143</v>
      </c>
      <c r="O11" s="122"/>
      <c r="P11" s="122"/>
      <c r="Q11" s="123"/>
      <c r="R11" s="8">
        <v>6</v>
      </c>
      <c r="S11" s="8">
        <v>195</v>
      </c>
      <c r="T11" s="60">
        <f t="shared" si="0"/>
        <v>1170</v>
      </c>
      <c r="U11" s="167" t="s">
        <v>16</v>
      </c>
      <c r="V11" s="123"/>
    </row>
    <row r="12" spans="1:22" ht="14.25" customHeight="1">
      <c r="A12" s="143" t="s">
        <v>14</v>
      </c>
      <c r="B12" s="107"/>
      <c r="C12" s="149"/>
      <c r="D12" s="106"/>
      <c r="E12" s="106"/>
      <c r="F12" s="107"/>
      <c r="G12" s="143"/>
      <c r="H12" s="107"/>
      <c r="I12" s="150"/>
      <c r="J12" s="106"/>
      <c r="K12" s="107"/>
      <c r="N12" s="62" t="s">
        <v>144</v>
      </c>
      <c r="O12" s="63"/>
      <c r="P12" s="63"/>
      <c r="Q12" s="63"/>
      <c r="R12" s="8">
        <v>81</v>
      </c>
      <c r="S12" s="8">
        <v>7</v>
      </c>
      <c r="T12" s="60">
        <f t="shared" si="0"/>
        <v>567</v>
      </c>
      <c r="U12" s="167" t="s">
        <v>16</v>
      </c>
      <c r="V12" s="123"/>
    </row>
    <row r="13" spans="1:22" ht="14.25" customHeight="1">
      <c r="A13" s="143" t="s">
        <v>17</v>
      </c>
      <c r="B13" s="107"/>
      <c r="C13" s="147" t="s">
        <v>146</v>
      </c>
      <c r="D13" s="106"/>
      <c r="E13" s="106"/>
      <c r="F13" s="107"/>
      <c r="G13" s="143" t="s">
        <v>18</v>
      </c>
      <c r="H13" s="107"/>
      <c r="I13" s="144">
        <f>G30</f>
        <v>13525</v>
      </c>
      <c r="J13" s="106"/>
      <c r="K13" s="107"/>
    </row>
    <row r="14" spans="1:22" ht="14.25" customHeight="1">
      <c r="A14" s="143" t="s">
        <v>19</v>
      </c>
      <c r="B14" s="107"/>
      <c r="C14" s="147" t="s">
        <v>141</v>
      </c>
      <c r="D14" s="106"/>
      <c r="E14" s="106"/>
      <c r="F14" s="107"/>
      <c r="G14" s="143" t="s">
        <v>23</v>
      </c>
      <c r="H14" s="107"/>
      <c r="I14" s="148" t="s">
        <v>24</v>
      </c>
      <c r="J14" s="106"/>
      <c r="K14" s="107"/>
    </row>
    <row r="15" spans="1:22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2" ht="22.5" customHeight="1">
      <c r="A16" s="3" t="s">
        <v>25</v>
      </c>
      <c r="B16" s="3"/>
      <c r="C16" s="4"/>
      <c r="D16" s="4"/>
      <c r="E16" s="4"/>
      <c r="F16" s="4"/>
      <c r="G16" s="4"/>
      <c r="H16" s="4"/>
      <c r="I16" s="4"/>
      <c r="J16" s="104"/>
      <c r="K16" s="104"/>
    </row>
    <row r="17" spans="1:37" ht="30" customHeight="1">
      <c r="A17" s="145" t="s">
        <v>26</v>
      </c>
      <c r="B17" s="128"/>
      <c r="C17" s="128"/>
      <c r="D17" s="129"/>
      <c r="E17" s="59" t="s">
        <v>27</v>
      </c>
      <c r="F17" s="59" t="s">
        <v>28</v>
      </c>
      <c r="G17" s="59" t="s">
        <v>29</v>
      </c>
      <c r="H17" s="145" t="s">
        <v>12</v>
      </c>
      <c r="I17" s="129"/>
      <c r="J17" s="6"/>
      <c r="K17" s="65"/>
      <c r="L17" s="65"/>
      <c r="M17" s="65"/>
      <c r="N17" s="65"/>
      <c r="O17" s="65"/>
      <c r="P17" s="65"/>
      <c r="Q17" s="65"/>
      <c r="R17" s="65"/>
      <c r="S17" s="65"/>
      <c r="T17" s="7"/>
      <c r="U17" s="173"/>
      <c r="V17" s="104"/>
      <c r="W17" s="104"/>
      <c r="X17" s="104"/>
      <c r="Y17" s="65"/>
      <c r="Z17" s="65"/>
      <c r="AA17" s="65"/>
      <c r="AB17" s="173"/>
      <c r="AC17" s="104"/>
      <c r="AD17" s="65"/>
      <c r="AE17" s="65"/>
      <c r="AF17" s="65"/>
      <c r="AG17" s="65"/>
      <c r="AH17" s="65"/>
      <c r="AI17" s="68"/>
      <c r="AJ17" s="68"/>
      <c r="AK17" s="68"/>
    </row>
    <row r="18" spans="1:37" ht="15.75" customHeight="1">
      <c r="A18" s="176" t="s">
        <v>152</v>
      </c>
      <c r="B18" s="122"/>
      <c r="C18" s="122"/>
      <c r="D18" s="123"/>
      <c r="E18" s="11">
        <v>6</v>
      </c>
      <c r="F18" s="11">
        <v>680</v>
      </c>
      <c r="G18" s="60">
        <f t="shared" ref="G18:G25" si="1">E18*F18</f>
        <v>4080</v>
      </c>
      <c r="H18" s="167" t="s">
        <v>16</v>
      </c>
      <c r="I18" s="123"/>
      <c r="J18" s="6"/>
      <c r="K18" s="174"/>
      <c r="L18" s="104"/>
      <c r="M18" s="104"/>
      <c r="N18" s="104"/>
      <c r="O18" s="22"/>
      <c r="P18" s="22"/>
      <c r="Q18" s="67"/>
      <c r="R18" s="175"/>
      <c r="S18" s="104"/>
      <c r="T18" s="7"/>
      <c r="U18" s="174"/>
      <c r="V18" s="104"/>
      <c r="W18" s="104"/>
      <c r="X18" s="104"/>
      <c r="Y18" s="22"/>
      <c r="Z18" s="22"/>
      <c r="AA18" s="67"/>
      <c r="AB18" s="175"/>
      <c r="AC18" s="104"/>
      <c r="AD18" s="40"/>
      <c r="AE18" s="40"/>
      <c r="AF18" s="40"/>
      <c r="AG18" s="40"/>
      <c r="AH18" s="40"/>
      <c r="AI18" s="40"/>
      <c r="AJ18" s="40"/>
      <c r="AK18" s="40"/>
    </row>
    <row r="19" spans="1:37" ht="14.25" customHeight="1">
      <c r="A19" s="177" t="s">
        <v>153</v>
      </c>
      <c r="B19" s="122"/>
      <c r="C19" s="122"/>
      <c r="D19" s="123"/>
      <c r="E19" s="8">
        <v>6</v>
      </c>
      <c r="F19" s="8">
        <v>210</v>
      </c>
      <c r="G19" s="60">
        <f t="shared" si="1"/>
        <v>1260</v>
      </c>
      <c r="H19" s="167" t="s">
        <v>16</v>
      </c>
      <c r="I19" s="123"/>
      <c r="J19" s="18"/>
      <c r="K19" s="178"/>
      <c r="L19" s="104"/>
      <c r="M19" s="104"/>
      <c r="N19" s="104"/>
      <c r="O19" s="71"/>
      <c r="P19" s="71"/>
      <c r="Q19" s="67"/>
      <c r="R19" s="175"/>
      <c r="S19" s="104"/>
      <c r="T19" s="7"/>
      <c r="U19" s="178"/>
      <c r="V19" s="104"/>
      <c r="W19" s="104"/>
      <c r="X19" s="104"/>
      <c r="Y19" s="71"/>
      <c r="Z19" s="71"/>
      <c r="AA19" s="67"/>
      <c r="AB19" s="175"/>
      <c r="AC19" s="104"/>
      <c r="AD19" s="40"/>
      <c r="AE19" s="40"/>
      <c r="AF19" s="40"/>
      <c r="AG19" s="40"/>
      <c r="AH19" s="40"/>
      <c r="AI19" s="40"/>
      <c r="AJ19" s="40"/>
      <c r="AK19" s="40"/>
    </row>
    <row r="20" spans="1:37" ht="14.25" customHeight="1">
      <c r="A20" s="177" t="s">
        <v>154</v>
      </c>
      <c r="B20" s="122"/>
      <c r="C20" s="122"/>
      <c r="D20" s="123"/>
      <c r="E20" s="8">
        <v>4</v>
      </c>
      <c r="F20" s="8">
        <v>140</v>
      </c>
      <c r="G20" s="60">
        <f t="shared" si="1"/>
        <v>560</v>
      </c>
      <c r="H20" s="167" t="s">
        <v>16</v>
      </c>
      <c r="I20" s="123"/>
      <c r="J20" s="18"/>
      <c r="K20" s="178"/>
      <c r="L20" s="104"/>
      <c r="M20" s="104"/>
      <c r="N20" s="104"/>
      <c r="O20" s="71"/>
      <c r="P20" s="71"/>
      <c r="Q20" s="67"/>
      <c r="R20" s="175"/>
      <c r="S20" s="104"/>
      <c r="T20" s="7"/>
      <c r="U20" s="178"/>
      <c r="V20" s="104"/>
      <c r="W20" s="104"/>
      <c r="X20" s="104"/>
      <c r="Y20" s="71"/>
      <c r="Z20" s="71"/>
      <c r="AA20" s="67"/>
      <c r="AB20" s="175"/>
      <c r="AC20" s="104"/>
      <c r="AD20" s="40"/>
      <c r="AE20" s="40"/>
      <c r="AF20" s="40"/>
      <c r="AG20" s="40"/>
      <c r="AH20" s="40"/>
      <c r="AI20" s="40"/>
      <c r="AJ20" s="40"/>
      <c r="AK20" s="40"/>
    </row>
    <row r="21" spans="1:37" ht="14.25" customHeight="1">
      <c r="A21" s="185" t="s">
        <v>155</v>
      </c>
      <c r="B21" s="122"/>
      <c r="C21" s="122"/>
      <c r="D21" s="123"/>
      <c r="E21" s="8">
        <v>6</v>
      </c>
      <c r="F21" s="8">
        <v>140</v>
      </c>
      <c r="G21" s="60">
        <f t="shared" si="1"/>
        <v>840</v>
      </c>
      <c r="H21" s="167" t="s">
        <v>16</v>
      </c>
      <c r="I21" s="123"/>
      <c r="J21" s="2"/>
      <c r="K21" s="186"/>
      <c r="L21" s="104"/>
      <c r="M21" s="104"/>
      <c r="N21" s="104"/>
      <c r="O21" s="71"/>
      <c r="P21" s="71"/>
      <c r="Q21" s="67"/>
      <c r="R21" s="175"/>
      <c r="S21" s="104"/>
      <c r="U21" s="186"/>
      <c r="V21" s="104"/>
      <c r="W21" s="104"/>
      <c r="X21" s="104"/>
      <c r="Y21" s="71"/>
      <c r="Z21" s="71"/>
      <c r="AA21" s="67"/>
      <c r="AB21" s="175"/>
      <c r="AC21" s="104"/>
      <c r="AD21" s="40"/>
      <c r="AE21" s="40"/>
      <c r="AF21" s="40"/>
      <c r="AG21" s="40"/>
      <c r="AH21" s="40"/>
      <c r="AI21" s="40"/>
      <c r="AJ21" s="40"/>
      <c r="AK21" s="40"/>
    </row>
    <row r="22" spans="1:37" ht="14.25" customHeight="1">
      <c r="A22" s="62" t="s">
        <v>156</v>
      </c>
      <c r="B22" s="63"/>
      <c r="C22" s="63"/>
      <c r="D22" s="63"/>
      <c r="E22" s="8">
        <v>1</v>
      </c>
      <c r="F22" s="8">
        <v>1700</v>
      </c>
      <c r="G22" s="60">
        <f t="shared" si="1"/>
        <v>1700</v>
      </c>
      <c r="H22" s="167" t="s">
        <v>16</v>
      </c>
      <c r="I22" s="123"/>
      <c r="J22" s="2"/>
      <c r="K22" s="74"/>
      <c r="L22" s="70"/>
      <c r="M22" s="70"/>
      <c r="N22" s="70"/>
      <c r="O22" s="71"/>
      <c r="P22" s="71"/>
      <c r="Q22" s="67"/>
      <c r="R22" s="175"/>
      <c r="S22" s="104"/>
      <c r="U22" s="74"/>
      <c r="V22" s="70"/>
      <c r="W22" s="70"/>
      <c r="X22" s="70"/>
      <c r="Y22" s="71"/>
      <c r="Z22" s="71"/>
      <c r="AA22" s="67"/>
      <c r="AB22" s="175"/>
      <c r="AC22" s="104"/>
      <c r="AD22" s="40"/>
      <c r="AE22" s="40"/>
      <c r="AF22" s="40"/>
      <c r="AG22" s="40"/>
      <c r="AH22" s="40"/>
      <c r="AI22" s="40"/>
      <c r="AJ22" s="40"/>
      <c r="AK22" s="40"/>
    </row>
    <row r="23" spans="1:37" ht="14.25" customHeight="1">
      <c r="A23" s="62" t="s">
        <v>157</v>
      </c>
      <c r="B23" s="76"/>
      <c r="C23" s="76"/>
      <c r="D23" s="76"/>
      <c r="E23" s="8">
        <v>1</v>
      </c>
      <c r="F23" s="8">
        <v>450</v>
      </c>
      <c r="G23" s="60">
        <f t="shared" si="1"/>
        <v>450</v>
      </c>
      <c r="H23" s="167" t="s">
        <v>16</v>
      </c>
      <c r="I23" s="123"/>
      <c r="J23" s="2"/>
      <c r="K23" s="74"/>
      <c r="L23" s="75"/>
      <c r="M23" s="75"/>
      <c r="N23" s="75"/>
      <c r="O23" s="71"/>
      <c r="P23" s="71"/>
      <c r="Q23" s="67"/>
      <c r="R23" s="175"/>
      <c r="S23" s="104"/>
      <c r="U23" s="74"/>
      <c r="V23" s="75"/>
      <c r="W23" s="75"/>
      <c r="X23" s="75"/>
      <c r="Y23" s="71"/>
      <c r="Z23" s="71"/>
      <c r="AA23" s="67"/>
      <c r="AB23" s="175"/>
      <c r="AC23" s="104"/>
      <c r="AD23" s="40"/>
      <c r="AE23" s="40"/>
      <c r="AF23" s="40"/>
      <c r="AG23" s="40"/>
      <c r="AH23" s="40"/>
      <c r="AI23" s="40"/>
      <c r="AJ23" s="40"/>
      <c r="AK23" s="40"/>
    </row>
    <row r="24" spans="1:37" ht="14.25" customHeight="1">
      <c r="A24" s="62" t="s">
        <v>158</v>
      </c>
      <c r="B24" s="76"/>
      <c r="C24" s="76"/>
      <c r="D24" s="76"/>
      <c r="E24" s="8">
        <v>2</v>
      </c>
      <c r="F24" s="8">
        <v>810</v>
      </c>
      <c r="G24" s="12">
        <f t="shared" si="1"/>
        <v>1620</v>
      </c>
      <c r="H24" s="167" t="s">
        <v>16</v>
      </c>
      <c r="I24" s="123"/>
      <c r="J24" s="2"/>
      <c r="K24" s="74"/>
      <c r="L24" s="75"/>
      <c r="M24" s="75"/>
      <c r="N24" s="75"/>
      <c r="O24" s="71"/>
      <c r="P24" s="71"/>
      <c r="Q24" s="77"/>
      <c r="R24" s="175"/>
      <c r="S24" s="104"/>
      <c r="U24" s="74"/>
      <c r="V24" s="75"/>
      <c r="W24" s="75"/>
      <c r="X24" s="75"/>
      <c r="Y24" s="71"/>
      <c r="Z24" s="71"/>
      <c r="AA24" s="77"/>
      <c r="AB24" s="175"/>
      <c r="AC24" s="104"/>
      <c r="AD24" s="40"/>
      <c r="AE24" s="40"/>
      <c r="AF24" s="40"/>
      <c r="AG24" s="40"/>
      <c r="AH24" s="40"/>
      <c r="AI24" s="40"/>
      <c r="AJ24" s="40"/>
      <c r="AK24" s="40"/>
    </row>
    <row r="25" spans="1:37" ht="14.25" customHeight="1">
      <c r="A25" s="187" t="s">
        <v>159</v>
      </c>
      <c r="B25" s="122"/>
      <c r="C25" s="122"/>
      <c r="D25" s="123"/>
      <c r="E25" s="80">
        <v>2</v>
      </c>
      <c r="F25" s="80">
        <v>995</v>
      </c>
      <c r="G25" s="81">
        <f t="shared" si="1"/>
        <v>1990</v>
      </c>
      <c r="H25" s="167" t="s">
        <v>16</v>
      </c>
      <c r="I25" s="123"/>
      <c r="J25" s="82"/>
      <c r="K25" s="188"/>
      <c r="L25" s="104"/>
      <c r="M25" s="104"/>
      <c r="N25" s="104"/>
      <c r="O25" s="83"/>
      <c r="P25" s="83"/>
      <c r="Q25" s="84"/>
      <c r="R25" s="175"/>
      <c r="S25" s="104"/>
      <c r="T25" s="85"/>
      <c r="U25" s="188"/>
      <c r="V25" s="104"/>
      <c r="W25" s="104"/>
      <c r="X25" s="104"/>
      <c r="Y25" s="83"/>
      <c r="Z25" s="83"/>
      <c r="AA25" s="84"/>
      <c r="AB25" s="175"/>
      <c r="AC25" s="104"/>
      <c r="AD25" s="40"/>
      <c r="AE25" s="40"/>
      <c r="AF25" s="40"/>
      <c r="AG25" s="40"/>
      <c r="AH25" s="40"/>
      <c r="AI25" s="40"/>
      <c r="AJ25" s="40"/>
      <c r="AK25" s="40"/>
    </row>
    <row r="26" spans="1:37" ht="14.25" customHeight="1">
      <c r="A26" s="86"/>
      <c r="B26" s="86"/>
      <c r="C26" s="86"/>
      <c r="D26" s="86"/>
      <c r="E26" s="86"/>
      <c r="F26" s="86"/>
      <c r="G26" s="87"/>
      <c r="H26" s="88"/>
      <c r="I26" s="89"/>
      <c r="J26" s="2"/>
      <c r="K26" s="2"/>
    </row>
    <row r="27" spans="1:37" ht="14.25" customHeight="1">
      <c r="A27" s="189" t="s">
        <v>65</v>
      </c>
      <c r="B27" s="131"/>
      <c r="C27" s="131"/>
      <c r="D27" s="131"/>
      <c r="E27" s="131"/>
      <c r="F27" s="132"/>
      <c r="G27" s="92">
        <f>SUM(G18:G26)</f>
        <v>12500</v>
      </c>
      <c r="H27" s="44"/>
      <c r="I27" s="93"/>
      <c r="J27" s="2"/>
      <c r="K27" s="2"/>
      <c r="O27" s="94"/>
      <c r="P27" s="94"/>
      <c r="Q27" s="94"/>
      <c r="U27" s="95"/>
      <c r="Z27" s="96"/>
      <c r="AA27" s="96"/>
    </row>
    <row r="28" spans="1:37" ht="14.25" customHeight="1">
      <c r="A28" s="46"/>
      <c r="B28" s="46"/>
      <c r="C28" s="46"/>
      <c r="D28" s="46"/>
      <c r="E28" s="46"/>
      <c r="F28" s="46" t="s">
        <v>41</v>
      </c>
      <c r="G28" s="30">
        <f>G27*1.05</f>
        <v>13125</v>
      </c>
      <c r="H28" s="48"/>
      <c r="I28" s="97"/>
      <c r="J28" s="2"/>
      <c r="K28" s="2"/>
      <c r="O28" s="94"/>
      <c r="P28" s="94"/>
      <c r="Q28" s="94"/>
      <c r="X28" s="190"/>
      <c r="Y28" s="104"/>
      <c r="Z28" s="104"/>
      <c r="AA28" s="95"/>
    </row>
    <row r="29" spans="1:37" ht="14.25" customHeight="1">
      <c r="A29" s="111" t="s">
        <v>160</v>
      </c>
      <c r="B29" s="106"/>
      <c r="C29" s="106"/>
      <c r="D29" s="106"/>
      <c r="E29" s="106"/>
      <c r="F29" s="107"/>
      <c r="G29" s="30">
        <v>400</v>
      </c>
      <c r="H29" s="48"/>
      <c r="I29" s="49"/>
      <c r="J29" s="47"/>
      <c r="K29" s="2"/>
    </row>
    <row r="30" spans="1:37" ht="14.25" customHeight="1">
      <c r="A30" s="112" t="s">
        <v>48</v>
      </c>
      <c r="B30" s="106"/>
      <c r="C30" s="106"/>
      <c r="D30" s="106"/>
      <c r="E30" s="106"/>
      <c r="F30" s="107"/>
      <c r="G30" s="53">
        <f>SUM(G28,G29)</f>
        <v>13525</v>
      </c>
      <c r="H30" s="48"/>
      <c r="I30" s="49"/>
      <c r="J30" s="47"/>
      <c r="K30" s="2"/>
    </row>
    <row r="31" spans="1:37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37" ht="22.5" customHeight="1">
      <c r="A32" s="113" t="s">
        <v>54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7"/>
      <c r="P32" s="99" t="s">
        <v>164</v>
      </c>
    </row>
    <row r="33" spans="1:37" ht="14.25" customHeight="1">
      <c r="A33" s="103" t="s">
        <v>56</v>
      </c>
      <c r="B33" s="104"/>
      <c r="C33" s="104"/>
      <c r="D33" s="54">
        <v>10</v>
      </c>
      <c r="E33" s="2" t="s">
        <v>58</v>
      </c>
      <c r="F33" s="103"/>
      <c r="G33" s="104"/>
      <c r="H33" s="104"/>
      <c r="I33" s="104"/>
      <c r="J33" s="103"/>
      <c r="K33" s="104"/>
    </row>
    <row r="34" spans="1:37" ht="14.25" customHeight="1">
      <c r="A34" s="2"/>
      <c r="B34" s="2"/>
      <c r="C34" s="2"/>
      <c r="D34" s="2"/>
      <c r="E34" s="2"/>
      <c r="F34" s="103"/>
      <c r="G34" s="104"/>
      <c r="H34" s="104"/>
      <c r="I34" s="42"/>
      <c r="J34" s="103"/>
      <c r="K34" s="104"/>
    </row>
    <row r="35" spans="1:37" ht="14.25" customHeight="1">
      <c r="A35" s="105" t="s">
        <v>64</v>
      </c>
      <c r="B35" s="106"/>
      <c r="C35" s="107"/>
      <c r="D35" s="103" t="s">
        <v>66</v>
      </c>
      <c r="E35" s="104"/>
      <c r="F35" s="108" t="s">
        <v>165</v>
      </c>
      <c r="G35" s="104"/>
      <c r="H35" s="104"/>
      <c r="I35" s="42"/>
      <c r="J35" s="103"/>
      <c r="K35" s="104"/>
    </row>
    <row r="36" spans="1:37" ht="14.25" customHeight="1">
      <c r="A36" s="109" t="s">
        <v>70</v>
      </c>
      <c r="B36" s="104"/>
      <c r="C36" s="104"/>
      <c r="D36" s="103" t="s">
        <v>72</v>
      </c>
      <c r="E36" s="104"/>
      <c r="F36" s="110"/>
      <c r="G36" s="104"/>
      <c r="H36" s="104"/>
      <c r="I36" s="42"/>
      <c r="J36" s="105"/>
      <c r="K36" s="107"/>
    </row>
    <row r="37" spans="1:37" ht="14.25" customHeight="1">
      <c r="A37" s="103" t="s">
        <v>75</v>
      </c>
      <c r="B37" s="104"/>
      <c r="C37" s="104"/>
      <c r="D37" s="103" t="s">
        <v>76</v>
      </c>
      <c r="E37" s="104"/>
      <c r="F37" s="103"/>
      <c r="G37" s="104"/>
      <c r="H37" s="104"/>
      <c r="I37" s="42"/>
      <c r="J37" s="103"/>
      <c r="K37" s="104"/>
    </row>
    <row r="38" spans="1:37" ht="14.25" customHeight="1">
      <c r="A38" s="103" t="s">
        <v>79</v>
      </c>
      <c r="B38" s="104"/>
      <c r="C38" s="104"/>
      <c r="D38" s="2"/>
      <c r="E38" s="2"/>
      <c r="F38" s="114" t="s">
        <v>80</v>
      </c>
      <c r="G38" s="106"/>
      <c r="H38" s="106"/>
      <c r="I38" s="106"/>
      <c r="J38" s="106"/>
      <c r="K38" s="107"/>
    </row>
    <row r="39" spans="1:37" ht="14.25" customHeight="1">
      <c r="A39" s="2"/>
      <c r="B39" s="2"/>
      <c r="C39" s="2"/>
      <c r="D39" s="2"/>
      <c r="E39" s="2"/>
      <c r="F39" s="115" t="s">
        <v>81</v>
      </c>
      <c r="G39" s="104"/>
      <c r="H39" s="104"/>
      <c r="I39" s="115" t="s">
        <v>83</v>
      </c>
      <c r="J39" s="104"/>
      <c r="K39" s="50"/>
      <c r="AA39" s="104"/>
      <c r="AB39" s="104"/>
    </row>
    <row r="40" spans="1:37" ht="14.25" customHeight="1">
      <c r="A40" s="2"/>
      <c r="B40" s="2"/>
      <c r="C40" s="2"/>
      <c r="D40" s="2"/>
      <c r="E40" s="2"/>
      <c r="F40" s="183">
        <v>72223</v>
      </c>
      <c r="G40" s="106"/>
      <c r="H40" s="107"/>
      <c r="I40" s="184" t="s">
        <v>85</v>
      </c>
      <c r="J40" s="107"/>
      <c r="K40" s="51"/>
      <c r="AA40" s="6"/>
      <c r="AB40" s="145" t="s">
        <v>26</v>
      </c>
      <c r="AC40" s="128"/>
      <c r="AD40" s="128"/>
      <c r="AE40" s="129"/>
      <c r="AF40" s="59" t="s">
        <v>27</v>
      </c>
      <c r="AG40" s="59" t="s">
        <v>28</v>
      </c>
      <c r="AH40" s="59" t="s">
        <v>29</v>
      </c>
      <c r="AI40" s="145" t="s">
        <v>12</v>
      </c>
      <c r="AJ40" s="129"/>
      <c r="AK40" s="7"/>
    </row>
    <row r="41" spans="1:37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AA41" s="6"/>
      <c r="AB41" s="176" t="s">
        <v>152</v>
      </c>
      <c r="AC41" s="122"/>
      <c r="AD41" s="122"/>
      <c r="AE41" s="123"/>
      <c r="AF41" s="11">
        <v>9</v>
      </c>
      <c r="AG41" s="11">
        <v>680</v>
      </c>
      <c r="AH41" s="60">
        <f t="shared" ref="AH41:AH48" si="2">AF41*AG41</f>
        <v>6120</v>
      </c>
      <c r="AI41" s="167" t="s">
        <v>16</v>
      </c>
      <c r="AJ41" s="123"/>
      <c r="AK41" s="7"/>
    </row>
    <row r="42" spans="1:37" ht="22.5" customHeight="1">
      <c r="A42" s="35" t="s">
        <v>86</v>
      </c>
      <c r="B42" s="113" t="s">
        <v>87</v>
      </c>
      <c r="C42" s="106"/>
      <c r="D42" s="106"/>
      <c r="E42" s="106"/>
      <c r="F42" s="106"/>
      <c r="G42" s="106"/>
      <c r="H42" s="106"/>
      <c r="I42" s="106"/>
      <c r="J42" s="106"/>
      <c r="K42" s="107"/>
      <c r="AA42" s="18"/>
      <c r="AB42" s="177" t="s">
        <v>153</v>
      </c>
      <c r="AC42" s="122"/>
      <c r="AD42" s="122"/>
      <c r="AE42" s="123"/>
      <c r="AF42" s="8">
        <v>9</v>
      </c>
      <c r="AG42" s="8">
        <v>210</v>
      </c>
      <c r="AH42" s="60">
        <f t="shared" si="2"/>
        <v>1890</v>
      </c>
      <c r="AI42" s="167" t="s">
        <v>16</v>
      </c>
      <c r="AJ42" s="123"/>
      <c r="AK42" s="7"/>
    </row>
    <row r="43" spans="1:37" ht="14.25" customHeight="1">
      <c r="A43" s="103" t="s">
        <v>88</v>
      </c>
      <c r="B43" s="104"/>
      <c r="C43" s="108" t="s">
        <v>169</v>
      </c>
      <c r="D43" s="104"/>
      <c r="E43" s="104"/>
      <c r="F43" s="119"/>
      <c r="G43" s="106"/>
      <c r="H43" s="106"/>
      <c r="I43" s="106"/>
      <c r="J43" s="106"/>
      <c r="K43" s="107"/>
      <c r="AA43" s="18"/>
      <c r="AB43" s="177" t="s">
        <v>154</v>
      </c>
      <c r="AC43" s="122"/>
      <c r="AD43" s="122"/>
      <c r="AE43" s="123"/>
      <c r="AF43" s="8">
        <v>6</v>
      </c>
      <c r="AG43" s="8">
        <v>140</v>
      </c>
      <c r="AH43" s="60">
        <f t="shared" si="2"/>
        <v>840</v>
      </c>
      <c r="AI43" s="167" t="s">
        <v>16</v>
      </c>
      <c r="AJ43" s="123"/>
      <c r="AK43" s="7"/>
    </row>
    <row r="44" spans="1:37" ht="14.25" customHeight="1">
      <c r="A44" s="103" t="s">
        <v>91</v>
      </c>
      <c r="B44" s="104"/>
      <c r="C44" s="104"/>
      <c r="D44" s="152" t="s">
        <v>92</v>
      </c>
      <c r="E44" s="107"/>
      <c r="F44" s="119"/>
      <c r="G44" s="106"/>
      <c r="H44" s="106"/>
      <c r="I44" s="106"/>
      <c r="J44" s="106"/>
      <c r="K44" s="107"/>
      <c r="AA44" s="2"/>
      <c r="AB44" s="185" t="s">
        <v>155</v>
      </c>
      <c r="AC44" s="122"/>
      <c r="AD44" s="122"/>
      <c r="AE44" s="123"/>
      <c r="AF44" s="8">
        <v>9</v>
      </c>
      <c r="AG44" s="8">
        <v>140</v>
      </c>
      <c r="AH44" s="60">
        <f t="shared" si="2"/>
        <v>1260</v>
      </c>
      <c r="AI44" s="167" t="s">
        <v>16</v>
      </c>
      <c r="AJ44" s="123"/>
    </row>
    <row r="45" spans="1:37" ht="14.25" customHeight="1">
      <c r="A45" s="2"/>
      <c r="B45" s="2"/>
      <c r="C45" s="2"/>
      <c r="D45" s="2"/>
      <c r="E45" s="2"/>
      <c r="F45" s="119"/>
      <c r="G45" s="106"/>
      <c r="H45" s="106"/>
      <c r="I45" s="106"/>
      <c r="J45" s="106"/>
      <c r="K45" s="107"/>
      <c r="AA45" s="2"/>
      <c r="AB45" s="62" t="s">
        <v>156</v>
      </c>
      <c r="AC45" s="63"/>
      <c r="AD45" s="63"/>
      <c r="AE45" s="63"/>
      <c r="AF45" s="8">
        <v>1</v>
      </c>
      <c r="AG45" s="8">
        <v>1550</v>
      </c>
      <c r="AH45" s="60">
        <f t="shared" si="2"/>
        <v>1550</v>
      </c>
      <c r="AI45" s="167" t="s">
        <v>16</v>
      </c>
      <c r="AJ45" s="123"/>
    </row>
    <row r="46" spans="1:37" ht="14.25" customHeight="1">
      <c r="A46" s="2"/>
      <c r="B46" s="2"/>
      <c r="C46" s="2"/>
      <c r="D46" s="2"/>
      <c r="E46" s="2"/>
      <c r="F46" s="119"/>
      <c r="G46" s="106"/>
      <c r="H46" s="106"/>
      <c r="I46" s="106"/>
      <c r="J46" s="106"/>
      <c r="K46" s="107"/>
      <c r="AA46" s="2"/>
      <c r="AB46" s="62" t="s">
        <v>157</v>
      </c>
      <c r="AC46" s="76"/>
      <c r="AD46" s="76"/>
      <c r="AE46" s="76"/>
      <c r="AF46" s="8">
        <v>1</v>
      </c>
      <c r="AG46" s="8">
        <v>390</v>
      </c>
      <c r="AH46" s="60">
        <f t="shared" si="2"/>
        <v>390</v>
      </c>
      <c r="AI46" s="167" t="s">
        <v>16</v>
      </c>
      <c r="AJ46" s="123"/>
    </row>
    <row r="47" spans="1:3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AA47" s="2"/>
      <c r="AB47" s="62" t="s">
        <v>158</v>
      </c>
      <c r="AC47" s="76"/>
      <c r="AD47" s="76"/>
      <c r="AE47" s="76"/>
      <c r="AF47" s="8">
        <v>2</v>
      </c>
      <c r="AG47" s="8">
        <v>680</v>
      </c>
      <c r="AH47" s="12">
        <f t="shared" si="2"/>
        <v>1360</v>
      </c>
      <c r="AI47" s="167" t="s">
        <v>16</v>
      </c>
      <c r="AJ47" s="123"/>
    </row>
    <row r="48" spans="1:37" ht="22.5" customHeight="1">
      <c r="A48" s="35" t="s">
        <v>97</v>
      </c>
      <c r="B48" s="113" t="s">
        <v>98</v>
      </c>
      <c r="C48" s="106"/>
      <c r="D48" s="106"/>
      <c r="E48" s="106"/>
      <c r="F48" s="106"/>
      <c r="G48" s="106"/>
      <c r="H48" s="106"/>
      <c r="I48" s="106"/>
      <c r="J48" s="106"/>
      <c r="K48" s="107"/>
      <c r="AA48" s="82"/>
      <c r="AB48" s="187" t="s">
        <v>159</v>
      </c>
      <c r="AC48" s="122"/>
      <c r="AD48" s="122"/>
      <c r="AE48" s="123"/>
      <c r="AF48" s="80">
        <v>2</v>
      </c>
      <c r="AG48" s="80">
        <v>850</v>
      </c>
      <c r="AH48" s="81">
        <f t="shared" si="2"/>
        <v>1700</v>
      </c>
      <c r="AI48" s="167" t="s">
        <v>16</v>
      </c>
      <c r="AJ48" s="123"/>
      <c r="AK48" s="85"/>
    </row>
    <row r="49" spans="1:34" ht="14.25" customHeight="1">
      <c r="A49" s="55" t="s">
        <v>100</v>
      </c>
      <c r="B49" s="120" t="s">
        <v>101</v>
      </c>
      <c r="C49" s="106"/>
      <c r="D49" s="106"/>
      <c r="E49" s="107"/>
      <c r="F49" s="120" t="s">
        <v>102</v>
      </c>
      <c r="G49" s="106"/>
      <c r="H49" s="107"/>
      <c r="I49" s="120" t="s">
        <v>103</v>
      </c>
      <c r="J49" s="107"/>
      <c r="K49" s="55"/>
      <c r="AA49" s="2"/>
      <c r="AB49" s="2"/>
    </row>
    <row r="50" spans="1:34" ht="42.75" customHeight="1">
      <c r="A50" s="56" t="s">
        <v>104</v>
      </c>
      <c r="B50" s="121" t="s">
        <v>105</v>
      </c>
      <c r="C50" s="122"/>
      <c r="D50" s="122"/>
      <c r="E50" s="123"/>
      <c r="F50" s="124" t="s">
        <v>106</v>
      </c>
      <c r="G50" s="122"/>
      <c r="H50" s="123"/>
      <c r="I50" s="125"/>
      <c r="J50" s="123"/>
      <c r="K50" s="57"/>
      <c r="AA50" s="2"/>
      <c r="AB50" s="2"/>
      <c r="AF50" s="94" t="s">
        <v>174</v>
      </c>
      <c r="AG50" s="94"/>
      <c r="AH50" s="100">
        <f>SUM(AH41:AH48)</f>
        <v>15110</v>
      </c>
    </row>
    <row r="51" spans="1:34" ht="31.5" customHeight="1">
      <c r="A51" s="56" t="s">
        <v>108</v>
      </c>
      <c r="B51" s="121" t="s">
        <v>109</v>
      </c>
      <c r="C51" s="122"/>
      <c r="D51" s="122"/>
      <c r="E51" s="123"/>
      <c r="F51" s="124" t="s">
        <v>110</v>
      </c>
      <c r="G51" s="122"/>
      <c r="H51" s="123"/>
      <c r="I51" s="125"/>
      <c r="J51" s="123"/>
      <c r="K51" s="57"/>
      <c r="AA51" s="2"/>
      <c r="AB51" s="2"/>
      <c r="AF51" s="94" t="s">
        <v>176</v>
      </c>
      <c r="AG51" s="94"/>
      <c r="AH51" s="94">
        <f>15110*1.05</f>
        <v>15865.5</v>
      </c>
    </row>
    <row r="52" spans="1:34" ht="31.5" customHeight="1">
      <c r="A52" s="56" t="s">
        <v>111</v>
      </c>
      <c r="B52" s="121" t="s">
        <v>112</v>
      </c>
      <c r="C52" s="122"/>
      <c r="D52" s="122"/>
      <c r="E52" s="123"/>
      <c r="F52" s="124" t="s">
        <v>113</v>
      </c>
      <c r="G52" s="122"/>
      <c r="H52" s="123"/>
      <c r="I52" s="125"/>
      <c r="J52" s="123"/>
      <c r="K52" s="57"/>
      <c r="AA52" s="47"/>
      <c r="AB52" s="2"/>
    </row>
    <row r="53" spans="1:34" ht="30" customHeight="1">
      <c r="A53" s="56" t="s">
        <v>114</v>
      </c>
      <c r="B53" s="121" t="s">
        <v>116</v>
      </c>
      <c r="C53" s="122"/>
      <c r="D53" s="122"/>
      <c r="E53" s="123"/>
      <c r="F53" s="124" t="s">
        <v>118</v>
      </c>
      <c r="G53" s="122"/>
      <c r="H53" s="123"/>
      <c r="I53" s="125"/>
      <c r="J53" s="123"/>
      <c r="K53" s="57"/>
    </row>
    <row r="54" spans="1:34" ht="34.5" customHeight="1">
      <c r="A54" s="56" t="s">
        <v>53</v>
      </c>
      <c r="B54" s="121" t="s">
        <v>119</v>
      </c>
      <c r="C54" s="122"/>
      <c r="D54" s="122"/>
      <c r="E54" s="123"/>
      <c r="F54" s="124" t="s">
        <v>120</v>
      </c>
      <c r="G54" s="122"/>
      <c r="H54" s="123"/>
      <c r="I54" s="125"/>
      <c r="J54" s="123"/>
      <c r="K54" s="57"/>
    </row>
    <row r="55" spans="1:34" ht="30" customHeight="1">
      <c r="A55" s="56" t="s">
        <v>121</v>
      </c>
      <c r="B55" s="121" t="s">
        <v>122</v>
      </c>
      <c r="C55" s="122"/>
      <c r="D55" s="122"/>
      <c r="E55" s="123"/>
      <c r="F55" s="124" t="s">
        <v>123</v>
      </c>
      <c r="G55" s="122"/>
      <c r="H55" s="123"/>
      <c r="I55" s="125"/>
      <c r="J55" s="123"/>
      <c r="K55" s="57"/>
    </row>
    <row r="56" spans="1:34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58"/>
    </row>
    <row r="57" spans="1:34" ht="22.5" customHeight="1">
      <c r="A57" s="35" t="s">
        <v>124</v>
      </c>
      <c r="B57" s="113" t="s">
        <v>125</v>
      </c>
      <c r="C57" s="106"/>
      <c r="D57" s="106"/>
      <c r="E57" s="106"/>
      <c r="F57" s="106"/>
      <c r="G57" s="106"/>
      <c r="H57" s="106"/>
      <c r="I57" s="106"/>
      <c r="J57" s="106"/>
      <c r="K57" s="107"/>
    </row>
    <row r="58" spans="1:34" ht="14.25" customHeight="1">
      <c r="A58" s="133" t="s">
        <v>126</v>
      </c>
      <c r="B58" s="104"/>
      <c r="C58" s="104"/>
      <c r="D58" s="104"/>
      <c r="E58" s="133" t="s">
        <v>127</v>
      </c>
      <c r="F58" s="104"/>
      <c r="G58" s="104"/>
      <c r="H58" s="104"/>
      <c r="I58" s="133" t="s">
        <v>128</v>
      </c>
      <c r="J58" s="104"/>
      <c r="K58" s="104"/>
    </row>
    <row r="59" spans="1:34" ht="14.2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</row>
    <row r="60" spans="1:34" ht="14.25" customHeight="1">
      <c r="A60" s="103" t="s">
        <v>129</v>
      </c>
      <c r="B60" s="104"/>
      <c r="C60" s="104"/>
      <c r="D60" s="134"/>
      <c r="E60" s="128"/>
      <c r="F60" s="128"/>
      <c r="G60" s="128"/>
      <c r="H60" s="128"/>
      <c r="I60" s="128"/>
      <c r="J60" s="128"/>
      <c r="K60" s="129"/>
    </row>
    <row r="61" spans="1:34" ht="14.25" customHeight="1">
      <c r="A61" s="2"/>
      <c r="B61" s="2"/>
      <c r="C61" s="2"/>
      <c r="D61" s="135"/>
      <c r="E61" s="104"/>
      <c r="F61" s="104"/>
      <c r="G61" s="104"/>
      <c r="H61" s="104"/>
      <c r="I61" s="104"/>
      <c r="J61" s="104"/>
      <c r="K61" s="136"/>
    </row>
    <row r="62" spans="1:34" ht="14.25" customHeight="1">
      <c r="A62" s="2"/>
      <c r="B62" s="2"/>
      <c r="C62" s="2"/>
      <c r="D62" s="130"/>
      <c r="E62" s="131"/>
      <c r="F62" s="131"/>
      <c r="G62" s="131"/>
      <c r="H62" s="131"/>
      <c r="I62" s="131"/>
      <c r="J62" s="131"/>
      <c r="K62" s="132"/>
    </row>
    <row r="63" spans="1:34" ht="14.25" customHeight="1"/>
    <row r="64" spans="1:34" ht="14.25" customHeight="1">
      <c r="A64" s="127" t="s">
        <v>130</v>
      </c>
      <c r="B64" s="128"/>
      <c r="C64" s="128"/>
      <c r="D64" s="129"/>
      <c r="E64" s="127" t="s">
        <v>131</v>
      </c>
      <c r="F64" s="128"/>
      <c r="G64" s="128"/>
      <c r="H64" s="129"/>
      <c r="I64" s="127" t="s">
        <v>132</v>
      </c>
      <c r="J64" s="128"/>
      <c r="K64" s="129"/>
    </row>
    <row r="65" spans="1:11" ht="14.25" customHeight="1">
      <c r="A65" s="130"/>
      <c r="B65" s="131"/>
      <c r="C65" s="131"/>
      <c r="D65" s="132"/>
      <c r="E65" s="130"/>
      <c r="F65" s="131"/>
      <c r="G65" s="131"/>
      <c r="H65" s="132"/>
      <c r="I65" s="130"/>
      <c r="J65" s="131"/>
      <c r="K65" s="132"/>
    </row>
    <row r="66" spans="1:11" ht="14.25" customHeight="1"/>
    <row r="67" spans="1:11" ht="14.25" customHeight="1"/>
    <row r="68" spans="1:11" ht="14.25" customHeight="1"/>
    <row r="69" spans="1:11" ht="14.25" customHeight="1"/>
    <row r="70" spans="1:11" ht="14.25" customHeight="1"/>
    <row r="71" spans="1:11" ht="14.25" customHeight="1"/>
    <row r="72" spans="1:11" ht="14.25" customHeight="1"/>
    <row r="73" spans="1:11" ht="14.25" customHeight="1"/>
    <row r="74" spans="1:11" ht="14.25" customHeight="1"/>
    <row r="75" spans="1:11" ht="14.25" customHeight="1"/>
    <row r="76" spans="1:11" ht="14.25" customHeight="1"/>
    <row r="77" spans="1:11" ht="14.25" customHeight="1"/>
    <row r="78" spans="1:11" ht="14.25" customHeight="1"/>
    <row r="79" spans="1:11" ht="14.25" customHeight="1"/>
    <row r="80" spans="1:1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69">
    <mergeCell ref="F39:H39"/>
    <mergeCell ref="I39:J39"/>
    <mergeCell ref="AA39:AB39"/>
    <mergeCell ref="A43:B43"/>
    <mergeCell ref="C43:E43"/>
    <mergeCell ref="F43:K43"/>
    <mergeCell ref="A44:C44"/>
    <mergeCell ref="D44:E44"/>
    <mergeCell ref="F44:K44"/>
    <mergeCell ref="X28:Z28"/>
    <mergeCell ref="A29:F29"/>
    <mergeCell ref="A30:F30"/>
    <mergeCell ref="A32:K32"/>
    <mergeCell ref="A33:C33"/>
    <mergeCell ref="F33:I33"/>
    <mergeCell ref="J33:K33"/>
    <mergeCell ref="F34:H34"/>
    <mergeCell ref="J34:K34"/>
    <mergeCell ref="AB20:AC20"/>
    <mergeCell ref="AB21:AC21"/>
    <mergeCell ref="AB22:AC22"/>
    <mergeCell ref="AB23:AC23"/>
    <mergeCell ref="AB24:AC24"/>
    <mergeCell ref="AB25:AC25"/>
    <mergeCell ref="A17:D17"/>
    <mergeCell ref="A18:D18"/>
    <mergeCell ref="K18:N18"/>
    <mergeCell ref="U18:X18"/>
    <mergeCell ref="A19:D19"/>
    <mergeCell ref="K19:N19"/>
    <mergeCell ref="U19:X19"/>
    <mergeCell ref="R18:S18"/>
    <mergeCell ref="R19:S19"/>
    <mergeCell ref="U20:X20"/>
    <mergeCell ref="U21:X21"/>
    <mergeCell ref="U25:X25"/>
    <mergeCell ref="C14:F14"/>
    <mergeCell ref="G14:H14"/>
    <mergeCell ref="I14:K14"/>
    <mergeCell ref="J16:K16"/>
    <mergeCell ref="H17:I17"/>
    <mergeCell ref="U17:X17"/>
    <mergeCell ref="AB17:AC17"/>
    <mergeCell ref="AB18:AC18"/>
    <mergeCell ref="AB19:AC19"/>
    <mergeCell ref="A60:C60"/>
    <mergeCell ref="D60:K62"/>
    <mergeCell ref="A64:D65"/>
    <mergeCell ref="E64:H65"/>
    <mergeCell ref="I64:K65"/>
    <mergeCell ref="B55:E55"/>
    <mergeCell ref="F55:H55"/>
    <mergeCell ref="I55:J55"/>
    <mergeCell ref="B57:K57"/>
    <mergeCell ref="A58:D59"/>
    <mergeCell ref="E58:H59"/>
    <mergeCell ref="I58:K59"/>
    <mergeCell ref="F54:H54"/>
    <mergeCell ref="I54:J54"/>
    <mergeCell ref="B52:E52"/>
    <mergeCell ref="F52:H52"/>
    <mergeCell ref="I52:J52"/>
    <mergeCell ref="B53:E53"/>
    <mergeCell ref="F53:H53"/>
    <mergeCell ref="I53:J53"/>
    <mergeCell ref="B54:E54"/>
    <mergeCell ref="F49:H49"/>
    <mergeCell ref="I49:J49"/>
    <mergeCell ref="B49:E49"/>
    <mergeCell ref="B50:E50"/>
    <mergeCell ref="F50:H50"/>
    <mergeCell ref="I50:J50"/>
    <mergeCell ref="B51:E51"/>
    <mergeCell ref="F51:H51"/>
    <mergeCell ref="I51:J51"/>
    <mergeCell ref="AB43:AE43"/>
    <mergeCell ref="AI43:AJ43"/>
    <mergeCell ref="AB44:AE44"/>
    <mergeCell ref="AI44:AJ44"/>
    <mergeCell ref="AI45:AJ45"/>
    <mergeCell ref="AI46:AJ46"/>
    <mergeCell ref="AI47:AJ47"/>
    <mergeCell ref="B48:K48"/>
    <mergeCell ref="AB48:AE48"/>
    <mergeCell ref="AI48:AJ48"/>
    <mergeCell ref="F45:K45"/>
    <mergeCell ref="F46:K46"/>
    <mergeCell ref="F40:H40"/>
    <mergeCell ref="I40:J40"/>
    <mergeCell ref="AB40:AE40"/>
    <mergeCell ref="AI40:AJ40"/>
    <mergeCell ref="AB41:AE41"/>
    <mergeCell ref="B42:K42"/>
    <mergeCell ref="AB42:AE42"/>
    <mergeCell ref="AI41:AJ41"/>
    <mergeCell ref="AI42:AJ42"/>
    <mergeCell ref="D36:E36"/>
    <mergeCell ref="F36:H36"/>
    <mergeCell ref="J36:K36"/>
    <mergeCell ref="A36:C36"/>
    <mergeCell ref="A37:C37"/>
    <mergeCell ref="D37:E37"/>
    <mergeCell ref="F37:H37"/>
    <mergeCell ref="J37:K37"/>
    <mergeCell ref="A38:C38"/>
    <mergeCell ref="F38:K38"/>
    <mergeCell ref="A25:D25"/>
    <mergeCell ref="H25:I25"/>
    <mergeCell ref="K25:N25"/>
    <mergeCell ref="R25:S25"/>
    <mergeCell ref="A27:F27"/>
    <mergeCell ref="A35:C35"/>
    <mergeCell ref="D35:E35"/>
    <mergeCell ref="F35:H35"/>
    <mergeCell ref="J35:K35"/>
    <mergeCell ref="A2:C7"/>
    <mergeCell ref="A10:B10"/>
    <mergeCell ref="A11:B11"/>
    <mergeCell ref="A12:B12"/>
    <mergeCell ref="A13:B13"/>
    <mergeCell ref="A14:B14"/>
    <mergeCell ref="D2:I5"/>
    <mergeCell ref="J2:K2"/>
    <mergeCell ref="J3:K3"/>
    <mergeCell ref="J4:K4"/>
    <mergeCell ref="J5:K5"/>
    <mergeCell ref="D6:I7"/>
    <mergeCell ref="A9:K9"/>
    <mergeCell ref="C10:F10"/>
    <mergeCell ref="G10:H10"/>
    <mergeCell ref="I10:K10"/>
    <mergeCell ref="G11:H11"/>
    <mergeCell ref="I11:K11"/>
    <mergeCell ref="C11:F11"/>
    <mergeCell ref="C12:F12"/>
    <mergeCell ref="G12:H12"/>
    <mergeCell ref="I12:K12"/>
    <mergeCell ref="C13:F13"/>
    <mergeCell ref="G13:H13"/>
    <mergeCell ref="H22:I22"/>
    <mergeCell ref="R22:S22"/>
    <mergeCell ref="H23:I23"/>
    <mergeCell ref="R23:S23"/>
    <mergeCell ref="R24:S24"/>
    <mergeCell ref="J6:K6"/>
    <mergeCell ref="J7:K7"/>
    <mergeCell ref="N7:Q7"/>
    <mergeCell ref="U7:V7"/>
    <mergeCell ref="N8:Q8"/>
    <mergeCell ref="U8:V8"/>
    <mergeCell ref="N9:Q9"/>
    <mergeCell ref="U9:V9"/>
    <mergeCell ref="N10:Q10"/>
    <mergeCell ref="N11:Q11"/>
    <mergeCell ref="U12:V12"/>
    <mergeCell ref="U10:V10"/>
    <mergeCell ref="U11:V11"/>
    <mergeCell ref="I13:K13"/>
    <mergeCell ref="H24:I24"/>
    <mergeCell ref="H18:I18"/>
    <mergeCell ref="H19:I19"/>
    <mergeCell ref="A20:D20"/>
    <mergeCell ref="H20:I20"/>
    <mergeCell ref="R20:S20"/>
    <mergeCell ref="A21:D21"/>
    <mergeCell ref="H21:I21"/>
    <mergeCell ref="R21:S21"/>
    <mergeCell ref="K20:N20"/>
    <mergeCell ref="K21:N2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5"/>
  <sheetViews>
    <sheetView workbookViewId="0"/>
  </sheetViews>
  <sheetFormatPr defaultColWidth="12.59765625" defaultRowHeight="15" customHeight="1"/>
  <cols>
    <col min="1" max="1" width="15.69921875" customWidth="1"/>
    <col min="2" max="2" width="25" customWidth="1"/>
    <col min="3" max="3" width="3.09765625" customWidth="1"/>
    <col min="4" max="4" width="3.59765625" customWidth="1"/>
    <col min="5" max="5" width="5.09765625" customWidth="1"/>
    <col min="6" max="6" width="18.8984375" customWidth="1"/>
    <col min="7" max="7" width="10.5" customWidth="1"/>
    <col min="8" max="8" width="15.5" customWidth="1"/>
    <col min="9" max="9" width="14" customWidth="1"/>
    <col min="10" max="10" width="17.19921875" customWidth="1"/>
    <col min="11" max="11" width="7.5" customWidth="1"/>
    <col min="12" max="12" width="2.3984375" customWidth="1"/>
    <col min="13" max="26" width="9" customWidth="1"/>
  </cols>
  <sheetData>
    <row r="1" spans="1:26" ht="7.5" customHeight="1"/>
    <row r="2" spans="1:26" ht="14.25" customHeight="1">
      <c r="A2" s="151" t="s">
        <v>0</v>
      </c>
      <c r="B2" s="128"/>
      <c r="C2" s="129"/>
      <c r="D2" s="139" t="s">
        <v>1</v>
      </c>
      <c r="E2" s="128"/>
      <c r="F2" s="128"/>
      <c r="G2" s="128"/>
      <c r="H2" s="128"/>
      <c r="I2" s="129"/>
      <c r="J2" s="137"/>
      <c r="K2" s="106"/>
      <c r="L2" s="107"/>
    </row>
    <row r="3" spans="1:26" ht="14.25" customHeight="1">
      <c r="A3" s="135"/>
      <c r="B3" s="104"/>
      <c r="C3" s="136"/>
      <c r="D3" s="135"/>
      <c r="E3" s="104"/>
      <c r="F3" s="104"/>
      <c r="G3" s="104"/>
      <c r="H3" s="104"/>
      <c r="I3" s="136"/>
      <c r="J3" s="140"/>
      <c r="K3" s="106"/>
      <c r="L3" s="107"/>
    </row>
    <row r="4" spans="1:26" ht="14.25" customHeight="1">
      <c r="A4" s="135"/>
      <c r="B4" s="104"/>
      <c r="C4" s="136"/>
      <c r="D4" s="135"/>
      <c r="E4" s="104"/>
      <c r="F4" s="104"/>
      <c r="G4" s="104"/>
      <c r="H4" s="104"/>
      <c r="I4" s="136"/>
      <c r="J4" s="137" t="s">
        <v>2</v>
      </c>
      <c r="K4" s="106"/>
      <c r="L4" s="107"/>
    </row>
    <row r="5" spans="1:26" ht="14.25" customHeight="1">
      <c r="A5" s="135"/>
      <c r="B5" s="104"/>
      <c r="C5" s="136"/>
      <c r="D5" s="130"/>
      <c r="E5" s="131"/>
      <c r="F5" s="131"/>
      <c r="G5" s="131"/>
      <c r="H5" s="131"/>
      <c r="I5" s="132"/>
      <c r="J5" s="141" t="s">
        <v>3</v>
      </c>
      <c r="K5" s="106"/>
      <c r="L5" s="107"/>
    </row>
    <row r="6" spans="1:26" ht="14.25" customHeight="1">
      <c r="A6" s="135"/>
      <c r="B6" s="104"/>
      <c r="C6" s="136"/>
      <c r="D6" s="142" t="s">
        <v>4</v>
      </c>
      <c r="E6" s="128"/>
      <c r="F6" s="128"/>
      <c r="G6" s="128"/>
      <c r="H6" s="128"/>
      <c r="I6" s="129"/>
      <c r="J6" s="137" t="s">
        <v>5</v>
      </c>
      <c r="K6" s="106"/>
      <c r="L6" s="107"/>
    </row>
    <row r="7" spans="1:26" ht="14.25" customHeight="1">
      <c r="A7" s="130"/>
      <c r="B7" s="131"/>
      <c r="C7" s="132"/>
      <c r="D7" s="130"/>
      <c r="E7" s="131"/>
      <c r="F7" s="131"/>
      <c r="G7" s="131"/>
      <c r="H7" s="131"/>
      <c r="I7" s="132"/>
      <c r="J7" s="138" t="s">
        <v>6</v>
      </c>
      <c r="K7" s="106"/>
      <c r="L7" s="107"/>
    </row>
    <row r="8" spans="1:26" ht="14.25" customHeight="1"/>
    <row r="9" spans="1:26" ht="22.5" customHeight="1">
      <c r="A9" s="113" t="s">
        <v>7</v>
      </c>
      <c r="B9" s="106"/>
      <c r="C9" s="106"/>
      <c r="D9" s="106"/>
      <c r="E9" s="106"/>
      <c r="F9" s="106"/>
      <c r="G9" s="106"/>
      <c r="H9" s="106"/>
      <c r="I9" s="106"/>
      <c r="J9" s="106"/>
      <c r="K9" s="107"/>
      <c r="L9" s="1"/>
    </row>
    <row r="10" spans="1:26" ht="14.25" customHeight="1">
      <c r="A10" s="143" t="s">
        <v>8</v>
      </c>
      <c r="B10" s="107"/>
      <c r="C10" s="149" t="s">
        <v>162</v>
      </c>
      <c r="D10" s="106"/>
      <c r="E10" s="106"/>
      <c r="F10" s="107"/>
      <c r="G10" s="143" t="s">
        <v>10</v>
      </c>
      <c r="H10" s="107"/>
      <c r="I10" s="158">
        <v>46253</v>
      </c>
      <c r="J10" s="106"/>
      <c r="K10" s="106"/>
      <c r="L10" s="107"/>
    </row>
    <row r="11" spans="1:26" ht="14.25" customHeight="1">
      <c r="A11" s="143" t="s">
        <v>12</v>
      </c>
      <c r="B11" s="107"/>
      <c r="C11" s="149" t="s">
        <v>163</v>
      </c>
      <c r="D11" s="106"/>
      <c r="E11" s="106"/>
      <c r="F11" s="107"/>
      <c r="G11" s="143"/>
      <c r="H11" s="107"/>
      <c r="I11" s="150"/>
      <c r="J11" s="106"/>
      <c r="K11" s="106"/>
      <c r="L11" s="107"/>
    </row>
    <row r="12" spans="1:26" ht="14.25" customHeight="1">
      <c r="A12" s="143" t="s">
        <v>14</v>
      </c>
      <c r="B12" s="107"/>
      <c r="C12" s="149"/>
      <c r="D12" s="106"/>
      <c r="E12" s="106"/>
      <c r="F12" s="107"/>
      <c r="G12" s="143"/>
      <c r="H12" s="107"/>
      <c r="I12" s="150"/>
      <c r="J12" s="106"/>
      <c r="K12" s="106"/>
      <c r="L12" s="107"/>
    </row>
    <row r="13" spans="1:26" ht="14.25" customHeight="1">
      <c r="A13" s="143" t="s">
        <v>19</v>
      </c>
      <c r="B13" s="107"/>
      <c r="C13" s="147" t="s">
        <v>168</v>
      </c>
      <c r="D13" s="106"/>
      <c r="E13" s="106"/>
      <c r="F13" s="107"/>
      <c r="G13" s="143" t="s">
        <v>18</v>
      </c>
      <c r="H13" s="107"/>
      <c r="I13" s="144">
        <v>13381</v>
      </c>
      <c r="J13" s="106"/>
      <c r="K13" s="106"/>
      <c r="L13" s="107"/>
    </row>
    <row r="14" spans="1:26" ht="14.25" customHeight="1">
      <c r="A14" s="143"/>
      <c r="B14" s="107"/>
      <c r="C14" s="147"/>
      <c r="D14" s="106"/>
      <c r="E14" s="106"/>
      <c r="F14" s="107"/>
      <c r="G14" s="143" t="s">
        <v>23</v>
      </c>
      <c r="H14" s="107"/>
      <c r="I14" s="148" t="s">
        <v>24</v>
      </c>
      <c r="J14" s="106"/>
      <c r="K14" s="106"/>
      <c r="L14" s="107"/>
    </row>
    <row r="15" spans="1:26" ht="22.5" customHeight="1">
      <c r="A15" s="3" t="s">
        <v>25</v>
      </c>
      <c r="B15" s="3"/>
      <c r="C15" s="4"/>
      <c r="D15" s="4"/>
      <c r="E15" s="4"/>
      <c r="F15" s="4"/>
      <c r="G15" s="4"/>
      <c r="H15" s="4"/>
      <c r="I15" s="4"/>
      <c r="J15" s="104"/>
      <c r="K15" s="104"/>
      <c r="L15" s="104"/>
    </row>
    <row r="16" spans="1:26" ht="30" customHeight="1">
      <c r="A16" s="145" t="s">
        <v>26</v>
      </c>
      <c r="B16" s="128"/>
      <c r="C16" s="128"/>
      <c r="D16" s="129"/>
      <c r="E16" s="59" t="s">
        <v>27</v>
      </c>
      <c r="F16" s="59" t="s">
        <v>28</v>
      </c>
      <c r="G16" s="59" t="s">
        <v>29</v>
      </c>
      <c r="H16" s="145" t="s">
        <v>19</v>
      </c>
      <c r="I16" s="129"/>
      <c r="J16" s="6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76" t="s">
        <v>170</v>
      </c>
      <c r="B17" s="122"/>
      <c r="C17" s="122"/>
      <c r="D17" s="123"/>
      <c r="E17" s="11">
        <v>16</v>
      </c>
      <c r="F17" s="11">
        <v>55</v>
      </c>
      <c r="G17" s="60">
        <f>F17*E17</f>
        <v>880</v>
      </c>
      <c r="H17" s="167" t="s">
        <v>172</v>
      </c>
      <c r="I17" s="123"/>
      <c r="J17" s="6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>
      <c r="A18" s="177" t="s">
        <v>173</v>
      </c>
      <c r="B18" s="122"/>
      <c r="C18" s="122"/>
      <c r="D18" s="123"/>
      <c r="E18" s="8">
        <v>104</v>
      </c>
      <c r="F18" s="8">
        <v>0.62</v>
      </c>
      <c r="G18" s="12">
        <f t="shared" ref="G18:G19" si="0">E18*F18</f>
        <v>64.48</v>
      </c>
      <c r="H18" s="167" t="s">
        <v>172</v>
      </c>
      <c r="I18" s="123"/>
      <c r="J18" s="18"/>
      <c r="K18" s="18"/>
      <c r="L18" s="1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>
      <c r="A19" s="177" t="s">
        <v>175</v>
      </c>
      <c r="B19" s="122"/>
      <c r="C19" s="122"/>
      <c r="D19" s="123"/>
      <c r="E19" s="8">
        <v>104</v>
      </c>
      <c r="F19" s="8">
        <v>0.25</v>
      </c>
      <c r="G19" s="12">
        <f t="shared" si="0"/>
        <v>26</v>
      </c>
      <c r="H19" s="167" t="s">
        <v>172</v>
      </c>
      <c r="I19" s="123"/>
      <c r="J19" s="18"/>
      <c r="K19" s="18"/>
      <c r="L19" s="1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>
      <c r="A20" s="164" t="s">
        <v>177</v>
      </c>
      <c r="B20" s="122"/>
      <c r="C20" s="122"/>
      <c r="D20" s="123"/>
      <c r="E20" s="8">
        <v>9</v>
      </c>
      <c r="F20" s="8">
        <v>35</v>
      </c>
      <c r="G20" s="12">
        <f>IF(OR(E20="",F20=""),"",E20*F20)</f>
        <v>315</v>
      </c>
      <c r="H20" s="167" t="s">
        <v>20</v>
      </c>
      <c r="I20" s="123"/>
      <c r="J20" s="2"/>
      <c r="K20" s="2"/>
      <c r="L20" s="2"/>
    </row>
    <row r="21" spans="1:26" ht="14.25" customHeight="1">
      <c r="A21" s="177" t="s">
        <v>178</v>
      </c>
      <c r="B21" s="122"/>
      <c r="C21" s="122"/>
      <c r="D21" s="123"/>
      <c r="E21" s="8">
        <v>4</v>
      </c>
      <c r="F21" s="8">
        <v>1875</v>
      </c>
      <c r="G21" s="12">
        <f t="shared" ref="G21:G22" si="1">E21*F21</f>
        <v>7500</v>
      </c>
      <c r="H21" s="167" t="s">
        <v>20</v>
      </c>
      <c r="I21" s="123"/>
      <c r="J21" s="2"/>
      <c r="K21" s="2"/>
      <c r="L21" s="2"/>
    </row>
    <row r="22" spans="1:26" ht="14.25" customHeight="1">
      <c r="A22" s="171" t="s">
        <v>179</v>
      </c>
      <c r="B22" s="122"/>
      <c r="C22" s="122"/>
      <c r="D22" s="123"/>
      <c r="E22" s="8">
        <v>1</v>
      </c>
      <c r="F22" s="8">
        <v>2775</v>
      </c>
      <c r="G22" s="12">
        <f t="shared" si="1"/>
        <v>2775</v>
      </c>
      <c r="H22" s="167" t="s">
        <v>180</v>
      </c>
      <c r="I22" s="123"/>
      <c r="J22" s="2"/>
      <c r="K22" s="2"/>
      <c r="L22" s="2"/>
    </row>
    <row r="23" spans="1:26" ht="14.25" customHeight="1">
      <c r="A23" s="171" t="s">
        <v>181</v>
      </c>
      <c r="B23" s="122"/>
      <c r="C23" s="122"/>
      <c r="D23" s="123"/>
      <c r="E23" s="8">
        <v>1</v>
      </c>
      <c r="F23" s="8">
        <v>850</v>
      </c>
      <c r="G23" s="12">
        <f t="shared" ref="G23:G25" si="2">F23*E23</f>
        <v>850</v>
      </c>
      <c r="H23" s="167" t="s">
        <v>180</v>
      </c>
      <c r="I23" s="123"/>
      <c r="J23" s="2"/>
      <c r="K23" s="2"/>
      <c r="L23" s="2"/>
    </row>
    <row r="24" spans="1:26" ht="14.25" customHeight="1">
      <c r="A24" s="101" t="s">
        <v>182</v>
      </c>
      <c r="B24" s="101"/>
      <c r="C24" s="101"/>
      <c r="D24" s="101"/>
      <c r="E24" s="37">
        <v>3</v>
      </c>
      <c r="F24" s="37">
        <v>25</v>
      </c>
      <c r="G24" s="102">
        <f t="shared" si="2"/>
        <v>75</v>
      </c>
      <c r="H24" s="40" t="s">
        <v>183</v>
      </c>
      <c r="I24" s="40"/>
      <c r="J24" s="2"/>
      <c r="K24" s="2"/>
      <c r="L24" s="2"/>
    </row>
    <row r="25" spans="1:26" ht="14.25" customHeight="1">
      <c r="A25" s="101" t="s">
        <v>184</v>
      </c>
      <c r="B25" s="101"/>
      <c r="C25" s="101"/>
      <c r="D25" s="101"/>
      <c r="E25" s="37">
        <v>1</v>
      </c>
      <c r="F25" s="37">
        <v>535.5</v>
      </c>
      <c r="G25" s="102">
        <f t="shared" si="2"/>
        <v>535.5</v>
      </c>
      <c r="H25" s="40" t="s">
        <v>185</v>
      </c>
      <c r="I25" s="40"/>
      <c r="J25" s="2"/>
      <c r="K25" s="2"/>
      <c r="L25" s="2"/>
    </row>
    <row r="26" spans="1:26" ht="14.25" customHeight="1">
      <c r="A26" s="41"/>
      <c r="B26" s="41"/>
      <c r="C26" s="41"/>
      <c r="D26" s="41"/>
      <c r="E26" s="41"/>
      <c r="F26" s="41"/>
      <c r="G26" s="43"/>
      <c r="H26" s="44"/>
      <c r="I26" s="45"/>
      <c r="J26" s="2"/>
      <c r="K26" s="2"/>
      <c r="L26" s="2"/>
    </row>
    <row r="27" spans="1:26" ht="14.25" customHeight="1">
      <c r="A27" s="111" t="s">
        <v>65</v>
      </c>
      <c r="B27" s="106"/>
      <c r="C27" s="106"/>
      <c r="D27" s="106"/>
      <c r="E27" s="106"/>
      <c r="F27" s="107"/>
      <c r="G27" s="30">
        <f>SUM(G17:G25)</f>
        <v>13020.98</v>
      </c>
      <c r="H27" s="48"/>
      <c r="I27" s="49"/>
      <c r="J27" s="2"/>
      <c r="K27" s="2"/>
      <c r="L27" s="2"/>
    </row>
    <row r="28" spans="1:26" ht="14.25" customHeight="1">
      <c r="A28" s="46"/>
      <c r="B28" s="46"/>
      <c r="C28" s="46"/>
      <c r="D28" s="46"/>
      <c r="E28" s="46"/>
      <c r="F28" s="46" t="s">
        <v>41</v>
      </c>
      <c r="G28" s="30">
        <f>G27*1.05</f>
        <v>13672.029</v>
      </c>
      <c r="H28" s="48"/>
      <c r="I28" s="49"/>
      <c r="J28" s="2"/>
      <c r="K28" s="2"/>
      <c r="L28" s="2"/>
    </row>
    <row r="29" spans="1:26" ht="14.25" customHeight="1">
      <c r="A29" s="111" t="s">
        <v>186</v>
      </c>
      <c r="B29" s="106"/>
      <c r="C29" s="106"/>
      <c r="D29" s="106"/>
      <c r="E29" s="106"/>
      <c r="F29" s="107"/>
      <c r="G29" s="30">
        <v>500</v>
      </c>
      <c r="H29" s="48"/>
      <c r="I29" s="49"/>
      <c r="J29" s="2"/>
      <c r="K29" s="2"/>
      <c r="L29" s="2"/>
    </row>
    <row r="30" spans="1:26" ht="14.25" customHeight="1">
      <c r="A30" s="112" t="s">
        <v>48</v>
      </c>
      <c r="B30" s="106"/>
      <c r="C30" s="106"/>
      <c r="D30" s="106"/>
      <c r="E30" s="106"/>
      <c r="F30" s="107"/>
      <c r="G30" s="53">
        <f>SUM(G28,G29)</f>
        <v>14172.029</v>
      </c>
      <c r="H30" s="48"/>
      <c r="I30" s="49"/>
      <c r="J30" s="2"/>
      <c r="K30" s="2"/>
      <c r="L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26" ht="22.5" customHeight="1">
      <c r="A32" s="113" t="s">
        <v>54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7"/>
      <c r="L32" s="1"/>
    </row>
    <row r="33" spans="1:12" ht="14.25" customHeight="1">
      <c r="A33" s="103" t="s">
        <v>56</v>
      </c>
      <c r="B33" s="104"/>
      <c r="C33" s="104"/>
      <c r="D33" s="54">
        <v>10</v>
      </c>
      <c r="E33" s="2" t="s">
        <v>58</v>
      </c>
      <c r="F33" s="103" t="s">
        <v>59</v>
      </c>
      <c r="G33" s="104"/>
      <c r="H33" s="104"/>
      <c r="I33" s="104"/>
      <c r="J33" s="103" t="s">
        <v>60</v>
      </c>
      <c r="K33" s="104"/>
      <c r="L33" s="104"/>
    </row>
    <row r="34" spans="1:12" ht="14.25" customHeight="1">
      <c r="A34" s="2"/>
      <c r="B34" s="2"/>
      <c r="C34" s="2"/>
      <c r="D34" s="2"/>
      <c r="E34" s="2"/>
      <c r="F34" s="103" t="s">
        <v>187</v>
      </c>
      <c r="G34" s="104"/>
      <c r="H34" s="104"/>
      <c r="I34" s="42"/>
      <c r="J34" s="109" t="s">
        <v>63</v>
      </c>
      <c r="K34" s="104"/>
      <c r="L34" s="104"/>
    </row>
    <row r="35" spans="1:12" ht="14.25" customHeight="1">
      <c r="A35" s="105" t="s">
        <v>64</v>
      </c>
      <c r="B35" s="106"/>
      <c r="C35" s="107"/>
      <c r="D35" s="103" t="s">
        <v>66</v>
      </c>
      <c r="E35" s="104"/>
      <c r="F35" s="108" t="s">
        <v>188</v>
      </c>
      <c r="G35" s="104"/>
      <c r="H35" s="104"/>
      <c r="I35" s="42"/>
      <c r="J35" s="103" t="s">
        <v>69</v>
      </c>
      <c r="K35" s="104"/>
      <c r="L35" s="104"/>
    </row>
    <row r="36" spans="1:12" ht="14.25" customHeight="1">
      <c r="A36" s="109" t="s">
        <v>70</v>
      </c>
      <c r="B36" s="104"/>
      <c r="C36" s="104"/>
      <c r="D36" s="103" t="s">
        <v>72</v>
      </c>
      <c r="E36" s="104"/>
      <c r="F36" s="110"/>
      <c r="G36" s="104"/>
      <c r="H36" s="104"/>
      <c r="I36" s="42"/>
      <c r="J36" s="105" t="s">
        <v>74</v>
      </c>
      <c r="K36" s="106"/>
      <c r="L36" s="107"/>
    </row>
    <row r="37" spans="1:12" ht="14.25" customHeight="1">
      <c r="A37" s="103" t="s">
        <v>75</v>
      </c>
      <c r="B37" s="104"/>
      <c r="C37" s="104"/>
      <c r="D37" s="103" t="s">
        <v>76</v>
      </c>
      <c r="E37" s="104"/>
      <c r="F37" s="103"/>
      <c r="G37" s="104"/>
      <c r="H37" s="104"/>
      <c r="I37" s="42"/>
      <c r="J37" s="103" t="s">
        <v>78</v>
      </c>
      <c r="K37" s="104"/>
      <c r="L37" s="104"/>
    </row>
    <row r="38" spans="1:12" ht="14.25" customHeight="1">
      <c r="A38" s="103" t="s">
        <v>79</v>
      </c>
      <c r="B38" s="104"/>
      <c r="C38" s="104"/>
      <c r="D38" s="2"/>
      <c r="E38" s="2"/>
      <c r="F38" s="114" t="s">
        <v>80</v>
      </c>
      <c r="G38" s="106"/>
      <c r="H38" s="106"/>
      <c r="I38" s="106"/>
      <c r="J38" s="106"/>
      <c r="K38" s="106"/>
      <c r="L38" s="107"/>
    </row>
    <row r="39" spans="1:12" ht="14.25" customHeight="1">
      <c r="A39" s="2"/>
      <c r="B39" s="2"/>
      <c r="C39" s="2"/>
      <c r="D39" s="2"/>
      <c r="E39" s="2"/>
      <c r="F39" s="115" t="s">
        <v>81</v>
      </c>
      <c r="G39" s="104"/>
      <c r="H39" s="104"/>
      <c r="I39" s="115" t="s">
        <v>83</v>
      </c>
      <c r="J39" s="104"/>
      <c r="K39" s="115"/>
      <c r="L39" s="104"/>
    </row>
    <row r="40" spans="1:12" ht="14.25" customHeight="1">
      <c r="A40" s="2"/>
      <c r="B40" s="2"/>
      <c r="C40" s="2"/>
      <c r="D40" s="2"/>
      <c r="E40" s="2"/>
      <c r="F40" s="191">
        <v>1671</v>
      </c>
      <c r="G40" s="106"/>
      <c r="H40" s="107"/>
      <c r="I40" s="184" t="s">
        <v>189</v>
      </c>
      <c r="J40" s="107"/>
      <c r="K40" s="118"/>
      <c r="L40" s="107"/>
    </row>
    <row r="41" spans="1:12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2.5" customHeight="1">
      <c r="A42" s="35" t="s">
        <v>86</v>
      </c>
      <c r="B42" s="113" t="s">
        <v>87</v>
      </c>
      <c r="C42" s="106"/>
      <c r="D42" s="106"/>
      <c r="E42" s="106"/>
      <c r="F42" s="106"/>
      <c r="G42" s="106"/>
      <c r="H42" s="106"/>
      <c r="I42" s="106"/>
      <c r="J42" s="106"/>
      <c r="K42" s="106"/>
      <c r="L42" s="107"/>
    </row>
    <row r="43" spans="1:12" ht="14.25" customHeight="1">
      <c r="A43" s="103" t="s">
        <v>88</v>
      </c>
      <c r="B43" s="104"/>
      <c r="C43" s="108" t="s">
        <v>190</v>
      </c>
      <c r="D43" s="104"/>
      <c r="E43" s="104"/>
      <c r="F43" s="119"/>
      <c r="G43" s="106"/>
      <c r="H43" s="106"/>
      <c r="I43" s="106"/>
      <c r="J43" s="106"/>
      <c r="K43" s="106"/>
      <c r="L43" s="107"/>
    </row>
    <row r="44" spans="1:12" ht="14.25" customHeight="1">
      <c r="A44" s="103" t="s">
        <v>91</v>
      </c>
      <c r="B44" s="104"/>
      <c r="C44" s="104"/>
      <c r="D44" s="152" t="s">
        <v>92</v>
      </c>
      <c r="E44" s="107"/>
      <c r="F44" s="119"/>
      <c r="G44" s="106"/>
      <c r="H44" s="106"/>
      <c r="I44" s="106"/>
      <c r="J44" s="106"/>
      <c r="K44" s="106"/>
      <c r="L44" s="107"/>
    </row>
    <row r="45" spans="1:12" ht="14.25" customHeight="1">
      <c r="A45" s="2"/>
      <c r="B45" s="2"/>
      <c r="C45" s="2"/>
      <c r="D45" s="2"/>
      <c r="E45" s="2"/>
      <c r="F45" s="119"/>
      <c r="G45" s="106"/>
      <c r="H45" s="106"/>
      <c r="I45" s="106"/>
      <c r="J45" s="106"/>
      <c r="K45" s="106"/>
      <c r="L45" s="107"/>
    </row>
    <row r="46" spans="1:12" ht="14.25" customHeight="1">
      <c r="A46" s="2"/>
      <c r="B46" s="2"/>
      <c r="C46" s="2"/>
      <c r="D46" s="2"/>
      <c r="E46" s="2"/>
      <c r="F46" s="119"/>
      <c r="G46" s="106"/>
      <c r="H46" s="106"/>
      <c r="I46" s="106"/>
      <c r="J46" s="106"/>
      <c r="K46" s="106"/>
      <c r="L46" s="107"/>
    </row>
    <row r="47" spans="1:12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2.5" customHeight="1">
      <c r="A48" s="35" t="s">
        <v>97</v>
      </c>
      <c r="B48" s="113" t="s">
        <v>98</v>
      </c>
      <c r="C48" s="106"/>
      <c r="D48" s="106"/>
      <c r="E48" s="106"/>
      <c r="F48" s="106"/>
      <c r="G48" s="106"/>
      <c r="H48" s="106"/>
      <c r="I48" s="106"/>
      <c r="J48" s="106"/>
      <c r="K48" s="106"/>
      <c r="L48" s="107"/>
    </row>
    <row r="49" spans="1:12" ht="14.25" customHeight="1">
      <c r="A49" s="55" t="s">
        <v>100</v>
      </c>
      <c r="B49" s="120" t="s">
        <v>101</v>
      </c>
      <c r="C49" s="106"/>
      <c r="D49" s="106"/>
      <c r="E49" s="107"/>
      <c r="F49" s="120" t="s">
        <v>102</v>
      </c>
      <c r="G49" s="106"/>
      <c r="H49" s="107"/>
      <c r="I49" s="120" t="s">
        <v>103</v>
      </c>
      <c r="J49" s="107"/>
      <c r="K49" s="120"/>
      <c r="L49" s="107"/>
    </row>
    <row r="50" spans="1:12" ht="42.75" customHeight="1">
      <c r="A50" s="56" t="s">
        <v>104</v>
      </c>
      <c r="B50" s="121" t="s">
        <v>105</v>
      </c>
      <c r="C50" s="122"/>
      <c r="D50" s="122"/>
      <c r="E50" s="123"/>
      <c r="F50" s="124" t="s">
        <v>106</v>
      </c>
      <c r="G50" s="122"/>
      <c r="H50" s="123"/>
      <c r="I50" s="125"/>
      <c r="J50" s="123"/>
      <c r="K50" s="126"/>
      <c r="L50" s="123"/>
    </row>
    <row r="51" spans="1:12" ht="31.5" customHeight="1">
      <c r="A51" s="56" t="s">
        <v>108</v>
      </c>
      <c r="B51" s="121" t="s">
        <v>109</v>
      </c>
      <c r="C51" s="122"/>
      <c r="D51" s="122"/>
      <c r="E51" s="123"/>
      <c r="F51" s="124" t="s">
        <v>110</v>
      </c>
      <c r="G51" s="122"/>
      <c r="H51" s="123"/>
      <c r="I51" s="125"/>
      <c r="J51" s="123"/>
      <c r="K51" s="126"/>
      <c r="L51" s="123"/>
    </row>
    <row r="52" spans="1:12" ht="31.5" customHeight="1">
      <c r="A52" s="56" t="s">
        <v>111</v>
      </c>
      <c r="B52" s="121" t="s">
        <v>112</v>
      </c>
      <c r="C52" s="122"/>
      <c r="D52" s="122"/>
      <c r="E52" s="123"/>
      <c r="F52" s="124" t="s">
        <v>113</v>
      </c>
      <c r="G52" s="122"/>
      <c r="H52" s="123"/>
      <c r="I52" s="125"/>
      <c r="J52" s="123"/>
      <c r="K52" s="126"/>
      <c r="L52" s="123"/>
    </row>
    <row r="53" spans="1:12" ht="30" customHeight="1">
      <c r="A53" s="56" t="s">
        <v>114</v>
      </c>
      <c r="B53" s="121" t="s">
        <v>116</v>
      </c>
      <c r="C53" s="122"/>
      <c r="D53" s="122"/>
      <c r="E53" s="123"/>
      <c r="F53" s="124" t="s">
        <v>118</v>
      </c>
      <c r="G53" s="122"/>
      <c r="H53" s="123"/>
      <c r="I53" s="125"/>
      <c r="J53" s="123"/>
      <c r="K53" s="126"/>
      <c r="L53" s="123"/>
    </row>
    <row r="54" spans="1:12" ht="34.5" customHeight="1">
      <c r="A54" s="56" t="s">
        <v>53</v>
      </c>
      <c r="B54" s="121" t="s">
        <v>119</v>
      </c>
      <c r="C54" s="122"/>
      <c r="D54" s="122"/>
      <c r="E54" s="123"/>
      <c r="F54" s="124" t="s">
        <v>120</v>
      </c>
      <c r="G54" s="122"/>
      <c r="H54" s="123"/>
      <c r="I54" s="125"/>
      <c r="J54" s="123"/>
      <c r="K54" s="126"/>
      <c r="L54" s="123"/>
    </row>
    <row r="55" spans="1:12" ht="30" customHeight="1">
      <c r="A55" s="56" t="s">
        <v>121</v>
      </c>
      <c r="B55" s="121" t="s">
        <v>122</v>
      </c>
      <c r="C55" s="122"/>
      <c r="D55" s="122"/>
      <c r="E55" s="123"/>
      <c r="F55" s="124" t="s">
        <v>123</v>
      </c>
      <c r="G55" s="122"/>
      <c r="H55" s="123"/>
      <c r="I55" s="125"/>
      <c r="J55" s="123"/>
      <c r="K55" s="126"/>
      <c r="L55" s="123"/>
    </row>
    <row r="56" spans="1:12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58"/>
      <c r="L56" s="58"/>
    </row>
    <row r="57" spans="1:12" ht="22.5" customHeight="1">
      <c r="A57" s="35" t="s">
        <v>124</v>
      </c>
      <c r="B57" s="113" t="s">
        <v>125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7"/>
    </row>
    <row r="58" spans="1:12" ht="14.25" customHeight="1">
      <c r="A58" s="133" t="s">
        <v>126</v>
      </c>
      <c r="B58" s="104"/>
      <c r="C58" s="104"/>
      <c r="D58" s="104"/>
      <c r="E58" s="133" t="s">
        <v>127</v>
      </c>
      <c r="F58" s="104"/>
      <c r="G58" s="104"/>
      <c r="H58" s="104"/>
      <c r="I58" s="133" t="s">
        <v>128</v>
      </c>
      <c r="J58" s="104"/>
      <c r="K58" s="104"/>
      <c r="L58" s="104"/>
    </row>
    <row r="59" spans="1:12" ht="14.2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</row>
    <row r="60" spans="1:12" ht="14.25" customHeight="1">
      <c r="A60" s="103" t="s">
        <v>129</v>
      </c>
      <c r="B60" s="104"/>
      <c r="C60" s="104"/>
      <c r="D60" s="134"/>
      <c r="E60" s="128"/>
      <c r="F60" s="128"/>
      <c r="G60" s="128"/>
      <c r="H60" s="128"/>
      <c r="I60" s="128"/>
      <c r="J60" s="128"/>
      <c r="K60" s="128"/>
      <c r="L60" s="129"/>
    </row>
    <row r="61" spans="1:12" ht="14.25" customHeight="1">
      <c r="A61" s="2"/>
      <c r="B61" s="2"/>
      <c r="C61" s="2"/>
      <c r="D61" s="135"/>
      <c r="E61" s="104"/>
      <c r="F61" s="104"/>
      <c r="G61" s="104"/>
      <c r="H61" s="104"/>
      <c r="I61" s="104"/>
      <c r="J61" s="104"/>
      <c r="K61" s="104"/>
      <c r="L61" s="136"/>
    </row>
    <row r="62" spans="1:12" ht="14.25" customHeight="1">
      <c r="A62" s="2"/>
      <c r="B62" s="2"/>
      <c r="C62" s="2"/>
      <c r="D62" s="130"/>
      <c r="E62" s="131"/>
      <c r="F62" s="131"/>
      <c r="G62" s="131"/>
      <c r="H62" s="131"/>
      <c r="I62" s="131"/>
      <c r="J62" s="131"/>
      <c r="K62" s="131"/>
      <c r="L62" s="132"/>
    </row>
    <row r="63" spans="1:12" ht="14.25" customHeight="1"/>
    <row r="64" spans="1:12" ht="14.25" customHeight="1">
      <c r="A64" s="127" t="s">
        <v>130</v>
      </c>
      <c r="B64" s="128"/>
      <c r="C64" s="128"/>
      <c r="D64" s="129"/>
      <c r="E64" s="127" t="s">
        <v>131</v>
      </c>
      <c r="F64" s="128"/>
      <c r="G64" s="128"/>
      <c r="H64" s="129"/>
      <c r="I64" s="127" t="s">
        <v>132</v>
      </c>
      <c r="J64" s="128"/>
      <c r="K64" s="128"/>
      <c r="L64" s="129"/>
    </row>
    <row r="65" spans="1:12" ht="14.25" customHeight="1">
      <c r="A65" s="130"/>
      <c r="B65" s="131"/>
      <c r="C65" s="131"/>
      <c r="D65" s="132"/>
      <c r="E65" s="130"/>
      <c r="F65" s="131"/>
      <c r="G65" s="131"/>
      <c r="H65" s="132"/>
      <c r="I65" s="130"/>
      <c r="J65" s="131"/>
      <c r="K65" s="131"/>
      <c r="L65" s="132"/>
    </row>
    <row r="66" spans="1:12" ht="14.25" customHeight="1"/>
    <row r="67" spans="1:12" ht="14.25" customHeight="1"/>
    <row r="68" spans="1:12" ht="14.25" customHeight="1"/>
    <row r="69" spans="1:12" ht="14.25" customHeight="1"/>
    <row r="70" spans="1:12" ht="14.25" customHeight="1"/>
    <row r="71" spans="1:12" ht="14.25" customHeight="1"/>
    <row r="72" spans="1:12" ht="14.25" customHeight="1"/>
    <row r="73" spans="1:12" ht="14.25" customHeight="1"/>
    <row r="74" spans="1:12" ht="14.25" customHeight="1"/>
    <row r="75" spans="1:12" ht="14.25" customHeight="1"/>
    <row r="76" spans="1:12" ht="14.25" customHeight="1"/>
    <row r="77" spans="1:12" ht="14.25" customHeight="1"/>
    <row r="78" spans="1:12" ht="14.25" customHeight="1"/>
    <row r="79" spans="1:12" ht="14.25" customHeight="1"/>
    <row r="80" spans="1:1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23">
    <mergeCell ref="F38:L38"/>
    <mergeCell ref="B42:L42"/>
    <mergeCell ref="A43:B43"/>
    <mergeCell ref="C43:E43"/>
    <mergeCell ref="F43:L43"/>
    <mergeCell ref="J33:L33"/>
    <mergeCell ref="J34:L34"/>
    <mergeCell ref="J35:L35"/>
    <mergeCell ref="J36:L36"/>
    <mergeCell ref="J37:L37"/>
    <mergeCell ref="K39:L39"/>
    <mergeCell ref="K40:L40"/>
    <mergeCell ref="A27:F27"/>
    <mergeCell ref="A29:F29"/>
    <mergeCell ref="A30:F30"/>
    <mergeCell ref="A32:K32"/>
    <mergeCell ref="A33:C33"/>
    <mergeCell ref="F33:I33"/>
    <mergeCell ref="F34:H34"/>
    <mergeCell ref="F36:H36"/>
    <mergeCell ref="F39:H39"/>
    <mergeCell ref="I39:J39"/>
    <mergeCell ref="F40:H40"/>
    <mergeCell ref="I40:J40"/>
    <mergeCell ref="A35:C35"/>
    <mergeCell ref="D35:E35"/>
    <mergeCell ref="F35:H35"/>
    <mergeCell ref="A36:C36"/>
    <mergeCell ref="D36:E36"/>
    <mergeCell ref="B50:E50"/>
    <mergeCell ref="B51:E51"/>
    <mergeCell ref="B52:E52"/>
    <mergeCell ref="B53:E53"/>
    <mergeCell ref="B54:E54"/>
    <mergeCell ref="B55:E55"/>
    <mergeCell ref="A16:D16"/>
    <mergeCell ref="H16:I16"/>
    <mergeCell ref="A17:D17"/>
    <mergeCell ref="H17:I17"/>
    <mergeCell ref="A18:D18"/>
    <mergeCell ref="H18:I18"/>
    <mergeCell ref="H19:I19"/>
    <mergeCell ref="A19:D19"/>
    <mergeCell ref="A20:D20"/>
    <mergeCell ref="A21:D21"/>
    <mergeCell ref="A22:D22"/>
    <mergeCell ref="H22:I22"/>
    <mergeCell ref="A23:D23"/>
    <mergeCell ref="H23:I23"/>
    <mergeCell ref="A37:C37"/>
    <mergeCell ref="A38:C38"/>
    <mergeCell ref="D37:E37"/>
    <mergeCell ref="F37:H37"/>
    <mergeCell ref="F53:H53"/>
    <mergeCell ref="I53:J53"/>
    <mergeCell ref="K53:L53"/>
    <mergeCell ref="E58:H59"/>
    <mergeCell ref="I58:L59"/>
    <mergeCell ref="D60:L62"/>
    <mergeCell ref="E64:H65"/>
    <mergeCell ref="I64:L65"/>
    <mergeCell ref="F54:H54"/>
    <mergeCell ref="I54:J54"/>
    <mergeCell ref="K54:L54"/>
    <mergeCell ref="F55:H55"/>
    <mergeCell ref="I55:J55"/>
    <mergeCell ref="K55:L55"/>
    <mergeCell ref="B57:L57"/>
    <mergeCell ref="A58:D59"/>
    <mergeCell ref="A60:C60"/>
    <mergeCell ref="A64:D65"/>
    <mergeCell ref="F50:H50"/>
    <mergeCell ref="I50:J50"/>
    <mergeCell ref="K50:L50"/>
    <mergeCell ref="I51:J51"/>
    <mergeCell ref="K51:L51"/>
    <mergeCell ref="F51:H51"/>
    <mergeCell ref="F52:H52"/>
    <mergeCell ref="I52:J52"/>
    <mergeCell ref="K52:L52"/>
    <mergeCell ref="A44:C44"/>
    <mergeCell ref="D44:E44"/>
    <mergeCell ref="F44:L44"/>
    <mergeCell ref="F45:L45"/>
    <mergeCell ref="F46:L46"/>
    <mergeCell ref="B48:L48"/>
    <mergeCell ref="K49:L49"/>
    <mergeCell ref="F49:H49"/>
    <mergeCell ref="I49:J49"/>
    <mergeCell ref="B49:E49"/>
    <mergeCell ref="C13:F13"/>
    <mergeCell ref="G13:H13"/>
    <mergeCell ref="I13:L13"/>
    <mergeCell ref="C14:F14"/>
    <mergeCell ref="G14:H14"/>
    <mergeCell ref="I14:L14"/>
    <mergeCell ref="J15:L15"/>
    <mergeCell ref="H20:I20"/>
    <mergeCell ref="H21:I21"/>
    <mergeCell ref="J6:L6"/>
    <mergeCell ref="J7:L7"/>
    <mergeCell ref="A2:C7"/>
    <mergeCell ref="A10:B10"/>
    <mergeCell ref="A11:B11"/>
    <mergeCell ref="A12:B12"/>
    <mergeCell ref="A13:B13"/>
    <mergeCell ref="A14:B14"/>
    <mergeCell ref="D2:I5"/>
    <mergeCell ref="J2:L2"/>
    <mergeCell ref="J3:L3"/>
    <mergeCell ref="J4:L4"/>
    <mergeCell ref="J5:L5"/>
    <mergeCell ref="D6:I7"/>
    <mergeCell ref="A9:K9"/>
    <mergeCell ref="G12:H12"/>
    <mergeCell ref="I12:L12"/>
    <mergeCell ref="C10:F10"/>
    <mergeCell ref="G10:H10"/>
    <mergeCell ref="I10:L10"/>
    <mergeCell ref="C11:F11"/>
    <mergeCell ref="G11:H11"/>
    <mergeCell ref="I11:L11"/>
    <mergeCell ref="C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Esnad</vt:lpstr>
      <vt:lpstr>Naaji</vt:lpstr>
      <vt:lpstr>Zahid</vt:lpstr>
      <vt:lpstr>Dogma</vt:lpstr>
      <vt:lpstr>Masri</vt:lpstr>
      <vt:lpstr>Al daid</vt:lpstr>
      <vt:lpstr>arabico 2 steel</vt:lpstr>
      <vt:lpstr>Promser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Sohaib Waseem</cp:lastModifiedBy>
  <dcterms:created xsi:type="dcterms:W3CDTF">2026-07-17T11:24:00Z</dcterms:created>
  <dcterms:modified xsi:type="dcterms:W3CDTF">2026-10-27T10:19:39Z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E5F7FF45310944FF830778D565415256_12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